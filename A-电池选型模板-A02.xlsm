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ude 安装\UPS选型助手_开发包_v1.2\UPS选型助手_开发包_v1.2\"/>
    </mc:Choice>
  </mc:AlternateContent>
  <xr:revisionPtr revIDLastSave="0" documentId="13_ncr:1_{0202667D-AF88-4F07-9273-DC0A9A910615}" xr6:coauthVersionLast="47" xr6:coauthVersionMax="47" xr10:uidLastSave="{00000000-0000-0000-0000-000000000000}"/>
  <bookViews>
    <workbookView xWindow="-120" yWindow="-120" windowWidth="29040" windowHeight="15720" tabRatio="797" activeTab="4" xr2:uid="{00000000-000D-0000-FFFF-FFFF00000000}"/>
  </bookViews>
  <sheets>
    <sheet name="12V电池选型" sheetId="12" r:id="rId1"/>
    <sheet name="2V电池选型" sheetId="14" r:id="rId2"/>
    <sheet name="UPS" sheetId="2" state="hidden" r:id="rId3"/>
    <sheet name="断路器" sheetId="9" state="hidden" r:id="rId4"/>
    <sheet name="数据表" sheetId="13" r:id="rId5"/>
  </sheets>
  <functionGroups builtInGroupCount="19"/>
  <definedNames>
    <definedName name="_xlnm._FilterDatabase" localSheetId="3" hidden="1">断路器!$A$1:$A$21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2" l="1" a="1"/>
  <c r="H11" i="12" a="1"/>
  <c r="H9" i="12" a="1"/>
  <c r="H12" i="12" a="1"/>
  <c r="H9" i="12" l="1"/>
  <c r="I9" i="12" s="1"/>
  <c r="H11" i="12"/>
  <c r="I11" i="12" s="1"/>
  <c r="H10" i="12"/>
  <c r="I10" i="12" s="1"/>
  <c r="H12" i="12"/>
  <c r="I12" i="12"/>
  <c r="H18" i="12" a="1"/>
  <c r="H38" i="12" a="1"/>
  <c r="H25" i="12" a="1"/>
  <c r="H32" i="12" a="1"/>
  <c r="H41" i="12" a="1"/>
  <c r="H28" i="12" a="1"/>
  <c r="H42" i="12" a="1"/>
  <c r="H29" i="12" a="1"/>
  <c r="H43" i="12" a="1"/>
  <c r="H17" i="12" a="1"/>
  <c r="H24" i="12" a="1"/>
  <c r="H19" i="12" a="1"/>
  <c r="H39" i="12" a="1"/>
  <c r="H13" i="12" a="1"/>
  <c r="H33" i="12" a="1"/>
  <c r="H20" i="12" a="1"/>
  <c r="H36" i="12" a="1"/>
  <c r="H30" i="12" a="1"/>
  <c r="H26" i="12" a="1"/>
  <c r="H40" i="12" a="1"/>
  <c r="H35" i="12" a="1"/>
  <c r="H27" i="12" a="1"/>
  <c r="H14" i="12" a="1"/>
  <c r="H34" i="12" a="1"/>
  <c r="H21" i="12" a="1"/>
  <c r="H15" i="12" a="1"/>
  <c r="H22" i="12" a="1"/>
  <c r="H16" i="12" a="1"/>
  <c r="H23" i="12" a="1"/>
  <c r="H37" i="12" a="1"/>
  <c r="H31" i="12" a="1"/>
  <c r="H31" i="12" l="1"/>
  <c r="I31" i="12" s="1"/>
  <c r="H37" i="12"/>
  <c r="I37" i="12" s="1"/>
  <c r="H23" i="12"/>
  <c r="I23" i="12" s="1"/>
  <c r="H16" i="12"/>
  <c r="I16" i="12" s="1"/>
  <c r="H22" i="12"/>
  <c r="I22" i="12" s="1"/>
  <c r="H15" i="12"/>
  <c r="I15" i="12" s="1"/>
  <c r="H21" i="12"/>
  <c r="I21" i="12" s="1"/>
  <c r="H34" i="12"/>
  <c r="I34" i="12" s="1"/>
  <c r="H14" i="12"/>
  <c r="I14" i="12" s="1"/>
  <c r="H27" i="12"/>
  <c r="I27" i="12" s="1"/>
  <c r="H35" i="12"/>
  <c r="I35" i="12" s="1"/>
  <c r="H40" i="12"/>
  <c r="I40" i="12" s="1"/>
  <c r="H26" i="12"/>
  <c r="I26" i="12" s="1"/>
  <c r="H30" i="12"/>
  <c r="I30" i="12" s="1"/>
  <c r="H36" i="12"/>
  <c r="I36" i="12" s="1"/>
  <c r="H20" i="12"/>
  <c r="I20" i="12" s="1"/>
  <c r="H33" i="12"/>
  <c r="I33" i="12" s="1"/>
  <c r="H13" i="12"/>
  <c r="I13" i="12" s="1"/>
  <c r="J2" i="12" s="1"/>
  <c r="H39" i="12"/>
  <c r="I39" i="12" s="1"/>
  <c r="H19" i="12"/>
  <c r="I19" i="12" s="1"/>
  <c r="H24" i="12"/>
  <c r="I24" i="12" s="1"/>
  <c r="H17" i="12"/>
  <c r="I17" i="12" s="1"/>
  <c r="H43" i="12"/>
  <c r="I43" i="12" s="1"/>
  <c r="H29" i="12"/>
  <c r="I29" i="12" s="1"/>
  <c r="H42" i="12"/>
  <c r="I42" i="12" s="1"/>
  <c r="H28" i="12"/>
  <c r="I28" i="12" s="1"/>
  <c r="H41" i="12"/>
  <c r="I41" i="12" s="1"/>
  <c r="H32" i="12"/>
  <c r="I32" i="12" s="1"/>
  <c r="H25" i="12"/>
  <c r="I25" i="12" s="1"/>
  <c r="H38" i="12"/>
  <c r="I38" i="12" s="1"/>
  <c r="H18" i="12"/>
  <c r="I18" i="12" s="1"/>
  <c r="F2" i="14"/>
  <c r="B6" i="14" s="1"/>
  <c r="G6" i="14"/>
  <c r="H6" i="14" s="1"/>
  <c r="M2" i="14"/>
  <c r="F2" i="12"/>
  <c r="B6" i="12" s="1"/>
  <c r="M2" i="12"/>
  <c r="G6" i="12"/>
  <c r="H6" i="12" s="1"/>
  <c r="D20" i="14" a="1"/>
  <c r="D25" i="12" a="1"/>
  <c r="D18" i="14" a="1"/>
  <c r="D20" i="12" a="1"/>
  <c r="D13" i="12" a="1"/>
  <c r="D9" i="12" a="1"/>
  <c r="D18" i="12" a="1"/>
  <c r="D21" i="12" a="1"/>
  <c r="D15" i="14" a="1"/>
  <c r="D26" i="12" a="1"/>
  <c r="D24" i="12" a="1"/>
  <c r="D14" i="12" a="1"/>
  <c r="D27" i="12" a="1"/>
  <c r="D11" i="14" a="1"/>
  <c r="D10" i="12" a="1"/>
  <c r="D10" i="14" a="1"/>
  <c r="D12" i="14" a="1"/>
  <c r="D16" i="14" a="1"/>
  <c r="D23" i="12" a="1"/>
  <c r="D17" i="12" a="1"/>
  <c r="D9" i="14" a="1"/>
  <c r="D13" i="14" a="1"/>
  <c r="D19" i="14" a="1"/>
  <c r="D16" i="12" a="1"/>
  <c r="D15" i="12" a="1"/>
  <c r="D12" i="12" a="1"/>
  <c r="D17" i="14" a="1"/>
  <c r="D14" i="14" a="1"/>
  <c r="D11" i="12" a="1"/>
  <c r="D22" i="12" a="1"/>
  <c r="D19" i="12" a="1"/>
  <c r="D20" i="14" l="1"/>
  <c r="I2" i="12"/>
  <c r="D14" i="14"/>
  <c r="I2" i="14"/>
  <c r="N2" i="14"/>
  <c r="D18" i="14"/>
  <c r="D17" i="14"/>
  <c r="D19" i="14"/>
  <c r="D16" i="14"/>
  <c r="D13" i="14"/>
  <c r="D10" i="14"/>
  <c r="D11" i="14"/>
  <c r="D15" i="14"/>
  <c r="D12" i="14"/>
  <c r="D9" i="14"/>
  <c r="N2" i="12"/>
  <c r="D6" i="12"/>
  <c r="D24" i="12"/>
  <c r="D23" i="12"/>
  <c r="D25" i="12"/>
  <c r="D10" i="12"/>
  <c r="D27" i="12"/>
  <c r="D26" i="12"/>
  <c r="D19" i="12"/>
  <c r="D17" i="12"/>
  <c r="D15" i="12"/>
  <c r="D13" i="12"/>
  <c r="D11" i="12"/>
  <c r="D21" i="12"/>
  <c r="D22" i="12"/>
  <c r="D20" i="12"/>
  <c r="D18" i="12"/>
  <c r="D16" i="12"/>
  <c r="D14" i="12"/>
  <c r="D12" i="12"/>
  <c r="D9" i="12"/>
  <c r="E20" i="14" l="1"/>
  <c r="E16" i="12"/>
  <c r="E11" i="12"/>
  <c r="E9" i="12"/>
  <c r="E12" i="12"/>
  <c r="E14" i="12"/>
  <c r="E19" i="14"/>
  <c r="E12" i="14"/>
  <c r="E10" i="14"/>
  <c r="E13" i="14"/>
  <c r="E18" i="14"/>
  <c r="E9" i="14"/>
  <c r="E16" i="14"/>
  <c r="E15" i="14"/>
  <c r="E14" i="14"/>
  <c r="E17" i="14"/>
  <c r="E11" i="14"/>
  <c r="E26" i="12"/>
  <c r="C6" i="12"/>
  <c r="E6" i="12" s="1"/>
  <c r="I6" i="12" s="1"/>
  <c r="E25" i="12"/>
  <c r="E18" i="12"/>
  <c r="E10" i="12"/>
  <c r="E27" i="12"/>
  <c r="E22" i="12"/>
  <c r="E20" i="12"/>
  <c r="E21" i="12"/>
  <c r="E23" i="12"/>
  <c r="E13" i="12"/>
  <c r="E15" i="12"/>
  <c r="E17" i="12"/>
  <c r="E24" i="12"/>
  <c r="E19" i="12"/>
  <c r="D6" i="14"/>
  <c r="C6" i="14"/>
  <c r="E6" i="14" s="1"/>
  <c r="J2" i="14" l="1"/>
  <c r="J6" i="14" s="1"/>
  <c r="J6" i="12"/>
  <c r="I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<sst xmlns="http://schemas.openxmlformats.org/spreadsheetml/2006/main" count="1245" uniqueCount="283">
  <si>
    <t>UPS单机容量（kVA）</t>
  </si>
  <si>
    <t>逆变器效率μ（0.9~1）</t>
    <phoneticPr fontId="2" type="noConversion"/>
  </si>
  <si>
    <t>功率因数cosφ（0.8~1）</t>
    <phoneticPr fontId="2" type="noConversion"/>
  </si>
  <si>
    <r>
      <rPr>
        <sz val="12"/>
        <rFont val="宋体"/>
        <family val="3"/>
        <charset val="134"/>
      </rPr>
      <t>断路器额定电流（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）</t>
    </r>
    <phoneticPr fontId="6" type="noConversion"/>
  </si>
  <si>
    <t>12V电池组节数</t>
    <phoneticPr fontId="2" type="noConversion"/>
  </si>
  <si>
    <t>电池组数量</t>
    <phoneticPr fontId="2" type="noConversion"/>
  </si>
  <si>
    <t>放电时间</t>
    <phoneticPr fontId="2" type="noConversion"/>
  </si>
  <si>
    <t>放电截止电压</t>
    <phoneticPr fontId="2" type="noConversion"/>
  </si>
  <si>
    <t>单只2V电池计算功率P(W)</t>
    <phoneticPr fontId="2" type="noConversion"/>
  </si>
  <si>
    <t>序号</t>
    <phoneticPr fontId="2" type="noConversion"/>
  </si>
  <si>
    <r>
      <rPr>
        <sz val="9"/>
        <rFont val="Times New Roman"/>
        <family val="1"/>
      </rPr>
      <t>30min</t>
    </r>
  </si>
  <si>
    <r>
      <rPr>
        <sz val="9"/>
        <rFont val="Times New Roman"/>
        <family val="1"/>
      </rPr>
      <t>45min</t>
    </r>
  </si>
  <si>
    <r>
      <rPr>
        <sz val="9"/>
        <rFont val="Times New Roman"/>
        <family val="1"/>
      </rPr>
      <t>60min</t>
    </r>
  </si>
  <si>
    <r>
      <rPr>
        <sz val="9"/>
        <rFont val="Times New Roman"/>
        <family val="1"/>
      </rPr>
      <t>90min</t>
    </r>
  </si>
  <si>
    <r>
      <rPr>
        <sz val="9"/>
        <rFont val="Times New Roman"/>
        <family val="1"/>
      </rPr>
      <t>120min</t>
    </r>
  </si>
  <si>
    <r>
      <rPr>
        <sz val="9"/>
        <rFont val="Times New Roman"/>
        <family val="1"/>
      </rPr>
      <t>180min</t>
    </r>
  </si>
  <si>
    <r>
      <rPr>
        <sz val="9"/>
        <rFont val="Times New Roman"/>
        <family val="1"/>
      </rPr>
      <t>300min</t>
    </r>
  </si>
  <si>
    <r>
      <rPr>
        <sz val="9"/>
        <rFont val="Times New Roman"/>
        <family val="1"/>
      </rPr>
      <t>600min</t>
    </r>
  </si>
  <si>
    <r>
      <rPr>
        <sz val="9"/>
        <rFont val="Times New Roman"/>
        <family val="1"/>
      </rPr>
      <t>1200min</t>
    </r>
  </si>
  <si>
    <t>5min</t>
    <phoneticPr fontId="8" type="noConversion"/>
  </si>
  <si>
    <t>5min</t>
    <phoneticPr fontId="2" type="noConversion"/>
  </si>
  <si>
    <t>放电截止电压(V)</t>
    <phoneticPr fontId="2" type="noConversion"/>
  </si>
  <si>
    <t>15min</t>
    <phoneticPr fontId="8" type="noConversion"/>
  </si>
  <si>
    <t>10min</t>
    <phoneticPr fontId="8" type="noConversion"/>
  </si>
  <si>
    <t>电池总开关（A）（不考虑冗余）</t>
    <phoneticPr fontId="2" type="noConversion"/>
  </si>
  <si>
    <t>电池分开关（A）（不考虑冗余）</t>
  </si>
  <si>
    <t>蓄电池最大放电电流（A）</t>
    <phoneticPr fontId="2" type="noConversion"/>
  </si>
  <si>
    <t>分组放电电流（A）</t>
    <phoneticPr fontId="2" type="noConversion"/>
  </si>
  <si>
    <t>开关品牌</t>
    <phoneticPr fontId="2" type="noConversion"/>
  </si>
  <si>
    <t>ABB</t>
  </si>
  <si>
    <t>UPS功率（kVA）</t>
    <phoneticPr fontId="2" type="noConversion"/>
  </si>
  <si>
    <t>20min</t>
    <phoneticPr fontId="8" type="noConversion"/>
  </si>
  <si>
    <t>开关3P/4P(默认带中性线)</t>
    <phoneticPr fontId="2" type="noConversion"/>
  </si>
  <si>
    <t>电压</t>
    <phoneticPr fontId="2" type="noConversion"/>
  </si>
  <si>
    <t>电池开关柜或电池开关盒配置</t>
    <phoneticPr fontId="2" type="noConversion"/>
  </si>
  <si>
    <t>电池架</t>
    <phoneticPr fontId="2" type="noConversion"/>
  </si>
  <si>
    <t>推荐型号</t>
    <phoneticPr fontId="2" type="noConversion"/>
  </si>
  <si>
    <t>是否带总开关</t>
    <phoneticPr fontId="2" type="noConversion"/>
  </si>
  <si>
    <t>SP12-80</t>
    <phoneticPr fontId="8" type="noConversion"/>
  </si>
  <si>
    <t>SP12-80b</t>
    <phoneticPr fontId="8" type="noConversion"/>
  </si>
  <si>
    <t>30min</t>
    <phoneticPr fontId="8" type="noConversion"/>
  </si>
  <si>
    <t>60min</t>
    <phoneticPr fontId="8" type="noConversion"/>
  </si>
  <si>
    <r>
      <t>90</t>
    </r>
    <r>
      <rPr>
        <sz val="12"/>
        <rFont val="宋体"/>
        <family val="3"/>
        <charset val="134"/>
      </rPr>
      <t>min</t>
    </r>
    <phoneticPr fontId="8" type="noConversion"/>
  </si>
  <si>
    <t>120min</t>
    <phoneticPr fontId="8" type="noConversion"/>
  </si>
  <si>
    <r>
      <t>180</t>
    </r>
    <r>
      <rPr>
        <sz val="12"/>
        <rFont val="宋体"/>
        <family val="3"/>
        <charset val="134"/>
      </rPr>
      <t>min</t>
    </r>
    <phoneticPr fontId="8" type="noConversion"/>
  </si>
  <si>
    <r>
      <t>240</t>
    </r>
    <r>
      <rPr>
        <sz val="12"/>
        <rFont val="宋体"/>
        <family val="3"/>
        <charset val="134"/>
      </rPr>
      <t>min</t>
    </r>
    <phoneticPr fontId="8" type="noConversion"/>
  </si>
  <si>
    <r>
      <t>300</t>
    </r>
    <r>
      <rPr>
        <sz val="12"/>
        <rFont val="宋体"/>
        <family val="3"/>
        <charset val="134"/>
      </rPr>
      <t>min</t>
    </r>
    <phoneticPr fontId="8" type="noConversion"/>
  </si>
  <si>
    <r>
      <t>480</t>
    </r>
    <r>
      <rPr>
        <sz val="12"/>
        <rFont val="宋体"/>
        <family val="3"/>
        <charset val="134"/>
      </rPr>
      <t>min</t>
    </r>
    <phoneticPr fontId="8" type="noConversion"/>
  </si>
  <si>
    <r>
      <t>600</t>
    </r>
    <r>
      <rPr>
        <sz val="12"/>
        <rFont val="宋体"/>
        <family val="3"/>
        <charset val="134"/>
      </rPr>
      <t>min</t>
    </r>
    <phoneticPr fontId="8" type="noConversion"/>
  </si>
  <si>
    <r>
      <t>1200</t>
    </r>
    <r>
      <rPr>
        <sz val="12"/>
        <rFont val="宋体"/>
        <family val="3"/>
        <charset val="134"/>
      </rPr>
      <t>min</t>
    </r>
    <phoneticPr fontId="8" type="noConversion"/>
  </si>
  <si>
    <t>SP12-100</t>
    <phoneticPr fontId="8" type="noConversion"/>
  </si>
  <si>
    <t>SP12-120</t>
    <phoneticPr fontId="8" type="noConversion"/>
  </si>
  <si>
    <t>SP12-120b</t>
    <phoneticPr fontId="8" type="noConversion"/>
  </si>
  <si>
    <t>SP12-150</t>
    <phoneticPr fontId="8" type="noConversion"/>
  </si>
  <si>
    <t>SP12-150b</t>
    <phoneticPr fontId="8" type="noConversion"/>
  </si>
  <si>
    <t>SP12-200</t>
    <phoneticPr fontId="8" type="noConversion"/>
  </si>
  <si>
    <t>SP12-250</t>
    <phoneticPr fontId="8" type="noConversion"/>
  </si>
  <si>
    <t>SPG12720</t>
    <phoneticPr fontId="8" type="noConversion"/>
  </si>
  <si>
    <t>SPG12800</t>
    <phoneticPr fontId="8" type="noConversion"/>
  </si>
  <si>
    <t>SPG12870</t>
    <phoneticPr fontId="8" type="noConversion"/>
  </si>
  <si>
    <r>
      <rPr>
        <sz val="9"/>
        <rFont val="Times New Roman"/>
        <family val="1"/>
      </rPr>
      <t>5min</t>
    </r>
    <phoneticPr fontId="8" type="noConversion"/>
  </si>
  <si>
    <r>
      <rPr>
        <sz val="9"/>
        <rFont val="Times New Roman"/>
        <family val="1"/>
      </rPr>
      <t>10min</t>
    </r>
    <phoneticPr fontId="8" type="noConversion"/>
  </si>
  <si>
    <r>
      <rPr>
        <sz val="9"/>
        <rFont val="Times New Roman"/>
        <family val="1"/>
      </rPr>
      <t>30min</t>
    </r>
    <phoneticPr fontId="8" type="noConversion"/>
  </si>
  <si>
    <r>
      <rPr>
        <sz val="9"/>
        <rFont val="Times New Roman"/>
        <family val="1"/>
      </rPr>
      <t>45min</t>
    </r>
    <phoneticPr fontId="8" type="noConversion"/>
  </si>
  <si>
    <r>
      <rPr>
        <sz val="9"/>
        <rFont val="Times New Roman"/>
        <family val="1"/>
      </rPr>
      <t>60min</t>
    </r>
    <phoneticPr fontId="8" type="noConversion"/>
  </si>
  <si>
    <r>
      <rPr>
        <sz val="9"/>
        <rFont val="Times New Roman"/>
        <family val="1"/>
      </rPr>
      <t>90min</t>
    </r>
    <phoneticPr fontId="8" type="noConversion"/>
  </si>
  <si>
    <r>
      <rPr>
        <sz val="9"/>
        <rFont val="Times New Roman"/>
        <family val="1"/>
      </rPr>
      <t>120min</t>
    </r>
    <phoneticPr fontId="8" type="noConversion"/>
  </si>
  <si>
    <r>
      <rPr>
        <sz val="9"/>
        <rFont val="Times New Roman"/>
        <family val="1"/>
      </rPr>
      <t>180min</t>
    </r>
    <phoneticPr fontId="8" type="noConversion"/>
  </si>
  <si>
    <r>
      <rPr>
        <sz val="9"/>
        <rFont val="Times New Roman"/>
        <family val="1"/>
      </rPr>
      <t>300min</t>
    </r>
    <phoneticPr fontId="8" type="noConversion"/>
  </si>
  <si>
    <r>
      <rPr>
        <sz val="9"/>
        <rFont val="Times New Roman"/>
        <family val="1"/>
      </rPr>
      <t>600min</t>
    </r>
    <phoneticPr fontId="8" type="noConversion"/>
  </si>
  <si>
    <r>
      <rPr>
        <sz val="9"/>
        <rFont val="Times New Roman"/>
        <family val="1"/>
      </rPr>
      <t>1200min</t>
    </r>
    <phoneticPr fontId="8" type="noConversion"/>
  </si>
  <si>
    <t>45min</t>
    <phoneticPr fontId="8" type="noConversion"/>
  </si>
  <si>
    <t>90min</t>
    <phoneticPr fontId="8" type="noConversion"/>
  </si>
  <si>
    <t>180min</t>
    <phoneticPr fontId="8" type="noConversion"/>
  </si>
  <si>
    <t>300min</t>
    <phoneticPr fontId="8" type="noConversion"/>
  </si>
  <si>
    <t>600min</t>
    <phoneticPr fontId="8" type="noConversion"/>
  </si>
  <si>
    <t>1200min</t>
    <phoneticPr fontId="8" type="noConversion"/>
  </si>
  <si>
    <t>SP12-200b</t>
    <phoneticPr fontId="8" type="noConversion"/>
  </si>
  <si>
    <t>SPG12600</t>
    <phoneticPr fontId="8" type="noConversion"/>
  </si>
  <si>
    <t>25min</t>
    <phoneticPr fontId="8" type="noConversion"/>
  </si>
  <si>
    <t>240min</t>
    <phoneticPr fontId="8" type="noConversion"/>
  </si>
  <si>
    <t>360min</t>
    <phoneticPr fontId="8" type="noConversion"/>
  </si>
  <si>
    <t>查找值</t>
    <phoneticPr fontId="2" type="noConversion"/>
  </si>
  <si>
    <t>是</t>
  </si>
  <si>
    <t>是否满足</t>
    <phoneticPr fontId="2" type="noConversion"/>
  </si>
  <si>
    <t>10min</t>
    <phoneticPr fontId="2" type="noConversion"/>
  </si>
  <si>
    <t>15min</t>
    <phoneticPr fontId="2" type="noConversion"/>
  </si>
  <si>
    <t>20min</t>
    <phoneticPr fontId="2" type="noConversion"/>
  </si>
  <si>
    <t>30min</t>
    <phoneticPr fontId="2" type="noConversion"/>
  </si>
  <si>
    <t>60min</t>
    <phoneticPr fontId="2" type="noConversion"/>
  </si>
  <si>
    <t>90min</t>
    <phoneticPr fontId="2" type="noConversion"/>
  </si>
  <si>
    <t>120min</t>
    <phoneticPr fontId="2" type="noConversion"/>
  </si>
  <si>
    <t>180min</t>
    <phoneticPr fontId="2" type="noConversion"/>
  </si>
  <si>
    <t>240min</t>
    <phoneticPr fontId="2" type="noConversion"/>
  </si>
  <si>
    <t>300min</t>
    <phoneticPr fontId="2" type="noConversion"/>
  </si>
  <si>
    <t>360min</t>
    <phoneticPr fontId="2" type="noConversion"/>
  </si>
  <si>
    <t>480min</t>
    <phoneticPr fontId="2" type="noConversion"/>
  </si>
  <si>
    <t>600min</t>
    <phoneticPr fontId="2" type="noConversion"/>
  </si>
  <si>
    <t>SP12-38</t>
    <phoneticPr fontId="2" type="noConversion"/>
  </si>
  <si>
    <t>SP12-38b</t>
    <phoneticPr fontId="2" type="noConversion"/>
  </si>
  <si>
    <t>电池型号(普通型）</t>
    <phoneticPr fontId="2" type="noConversion"/>
  </si>
  <si>
    <t>SP12-42</t>
    <phoneticPr fontId="2" type="noConversion"/>
  </si>
  <si>
    <t>SP12-50</t>
    <phoneticPr fontId="2" type="noConversion"/>
  </si>
  <si>
    <t>SP12-50b</t>
    <phoneticPr fontId="2" type="noConversion"/>
  </si>
  <si>
    <t>SP12-65</t>
    <phoneticPr fontId="2" type="noConversion"/>
  </si>
  <si>
    <t>SP12-65b</t>
    <phoneticPr fontId="2" type="noConversion"/>
  </si>
  <si>
    <t>SP12-80</t>
    <phoneticPr fontId="2" type="noConversion"/>
  </si>
  <si>
    <t>SP12-80b</t>
    <phoneticPr fontId="2" type="noConversion"/>
  </si>
  <si>
    <t>SP12-100</t>
    <phoneticPr fontId="2" type="noConversion"/>
  </si>
  <si>
    <t>SP12-100b</t>
    <phoneticPr fontId="2" type="noConversion"/>
  </si>
  <si>
    <t>SP12-120</t>
    <phoneticPr fontId="2" type="noConversion"/>
  </si>
  <si>
    <t>SP12-120b</t>
    <phoneticPr fontId="2" type="noConversion"/>
  </si>
  <si>
    <t>SP12-150</t>
    <phoneticPr fontId="2" type="noConversion"/>
  </si>
  <si>
    <t>SP12-150b</t>
    <phoneticPr fontId="2" type="noConversion"/>
  </si>
  <si>
    <t>SP12-200</t>
    <phoneticPr fontId="2" type="noConversion"/>
  </si>
  <si>
    <t>SP12-200b</t>
    <phoneticPr fontId="2" type="noConversion"/>
  </si>
  <si>
    <t>SP12-250</t>
    <phoneticPr fontId="2" type="noConversion"/>
  </si>
  <si>
    <t>SP12-250b</t>
    <phoneticPr fontId="2" type="noConversion"/>
  </si>
  <si>
    <r>
      <t>1</t>
    </r>
    <r>
      <rPr>
        <sz val="10"/>
        <rFont val="黑体"/>
        <family val="3"/>
        <charset val="134"/>
      </rPr>
      <t>200min</t>
    </r>
    <phoneticPr fontId="2" type="noConversion"/>
  </si>
  <si>
    <t>SPG12120b</t>
    <phoneticPr fontId="2" type="noConversion"/>
  </si>
  <si>
    <t>SPG12160b</t>
    <phoneticPr fontId="2" type="noConversion"/>
  </si>
  <si>
    <t>SPG12175</t>
    <phoneticPr fontId="2" type="noConversion"/>
  </si>
  <si>
    <t>SPG12215</t>
    <phoneticPr fontId="2" type="noConversion"/>
  </si>
  <si>
    <t>SPG12215b</t>
    <phoneticPr fontId="2" type="noConversion"/>
  </si>
  <si>
    <t>SPG12255</t>
    <phoneticPr fontId="2" type="noConversion"/>
  </si>
  <si>
    <t>SPG12255b</t>
    <phoneticPr fontId="2" type="noConversion"/>
  </si>
  <si>
    <t>SPG12300</t>
    <phoneticPr fontId="2" type="noConversion"/>
  </si>
  <si>
    <t>SPG12300b</t>
    <phoneticPr fontId="2" type="noConversion"/>
  </si>
  <si>
    <t>SPG12320</t>
    <phoneticPr fontId="2" type="noConversion"/>
  </si>
  <si>
    <t>SPG12330b</t>
    <phoneticPr fontId="2" type="noConversion"/>
  </si>
  <si>
    <t>SPG12340</t>
    <phoneticPr fontId="2" type="noConversion"/>
  </si>
  <si>
    <t>SPG12360b</t>
    <phoneticPr fontId="2" type="noConversion"/>
  </si>
  <si>
    <t>SPG12390</t>
    <phoneticPr fontId="2" type="noConversion"/>
  </si>
  <si>
    <t>SPG12400b</t>
    <phoneticPr fontId="2" type="noConversion"/>
  </si>
  <si>
    <t>SPG12420b</t>
    <phoneticPr fontId="2" type="noConversion"/>
  </si>
  <si>
    <t>SPG12440</t>
    <phoneticPr fontId="2" type="noConversion"/>
  </si>
  <si>
    <t>SPG12490</t>
    <phoneticPr fontId="2" type="noConversion"/>
  </si>
  <si>
    <t>SPG12490b</t>
    <phoneticPr fontId="2" type="noConversion"/>
  </si>
  <si>
    <t>SPG12500</t>
    <phoneticPr fontId="2" type="noConversion"/>
  </si>
  <si>
    <t>SPG12540b</t>
    <phoneticPr fontId="2" type="noConversion"/>
  </si>
  <si>
    <t>SPG12570</t>
    <phoneticPr fontId="2" type="noConversion"/>
  </si>
  <si>
    <t>SPG12600</t>
    <phoneticPr fontId="2" type="noConversion"/>
  </si>
  <si>
    <t>SPG12605b</t>
    <phoneticPr fontId="2" type="noConversion"/>
  </si>
  <si>
    <t>SPG12650b</t>
    <phoneticPr fontId="2" type="noConversion"/>
  </si>
  <si>
    <t>SPG12660</t>
    <phoneticPr fontId="2" type="noConversion"/>
  </si>
  <si>
    <t>SPG12705b</t>
    <phoneticPr fontId="2" type="noConversion"/>
  </si>
  <si>
    <t>SPG12720</t>
    <phoneticPr fontId="2" type="noConversion"/>
  </si>
  <si>
    <t>SPG12750b</t>
    <phoneticPr fontId="2" type="noConversion"/>
  </si>
  <si>
    <t>SPG12770</t>
    <phoneticPr fontId="2" type="noConversion"/>
  </si>
  <si>
    <t>SPG12800</t>
    <phoneticPr fontId="2" type="noConversion"/>
  </si>
  <si>
    <t>SPG12800b</t>
    <phoneticPr fontId="2" type="noConversion"/>
  </si>
  <si>
    <t>SPG12870</t>
    <phoneticPr fontId="2" type="noConversion"/>
  </si>
  <si>
    <t>SPG12890b</t>
    <phoneticPr fontId="2" type="noConversion"/>
  </si>
  <si>
    <t>电池型号(高功率型）</t>
    <phoneticPr fontId="2" type="noConversion"/>
  </si>
  <si>
    <t>是否选择高功率型</t>
    <phoneticPr fontId="2" type="noConversion"/>
  </si>
  <si>
    <t>SP12-38</t>
    <phoneticPr fontId="8" type="noConversion"/>
  </si>
  <si>
    <t>10min</t>
    <phoneticPr fontId="8" type="noConversion"/>
  </si>
  <si>
    <t>15min</t>
    <phoneticPr fontId="8" type="noConversion"/>
  </si>
  <si>
    <t>20min</t>
    <phoneticPr fontId="8" type="noConversion"/>
  </si>
  <si>
    <t>30min</t>
    <phoneticPr fontId="8" type="noConversion"/>
  </si>
  <si>
    <t>45min</t>
    <phoneticPr fontId="8" type="noConversion"/>
  </si>
  <si>
    <t>60min</t>
    <phoneticPr fontId="8" type="noConversion"/>
  </si>
  <si>
    <t>90min</t>
    <phoneticPr fontId="8" type="noConversion"/>
  </si>
  <si>
    <t>120min</t>
    <phoneticPr fontId="8" type="noConversion"/>
  </si>
  <si>
    <t>180min</t>
    <phoneticPr fontId="8" type="noConversion"/>
  </si>
  <si>
    <t>300min</t>
    <phoneticPr fontId="8" type="noConversion"/>
  </si>
  <si>
    <t>600min</t>
    <phoneticPr fontId="8" type="noConversion"/>
  </si>
  <si>
    <t>1200min</t>
    <phoneticPr fontId="8" type="noConversion"/>
  </si>
  <si>
    <t>SP12-42</t>
    <phoneticPr fontId="8" type="noConversion"/>
  </si>
  <si>
    <t>SP12-50</t>
    <phoneticPr fontId="8" type="noConversion"/>
  </si>
  <si>
    <t>SP12-65</t>
    <phoneticPr fontId="8" type="noConversion"/>
  </si>
  <si>
    <t>SP12-80</t>
    <phoneticPr fontId="8" type="noConversion"/>
  </si>
  <si>
    <t>SP12-100</t>
    <phoneticPr fontId="8" type="noConversion"/>
  </si>
  <si>
    <t>SP12-120</t>
    <phoneticPr fontId="8" type="noConversion"/>
  </si>
  <si>
    <t>SP12-150</t>
    <phoneticPr fontId="8" type="noConversion"/>
  </si>
  <si>
    <t>SP12-200</t>
    <phoneticPr fontId="8" type="noConversion"/>
  </si>
  <si>
    <t>SP12-250</t>
    <phoneticPr fontId="8" type="noConversion"/>
  </si>
  <si>
    <t>5min</t>
    <phoneticPr fontId="8" type="noConversion"/>
  </si>
  <si>
    <t>SP12-38b</t>
    <phoneticPr fontId="8" type="noConversion"/>
  </si>
  <si>
    <t>10min</t>
    <phoneticPr fontId="8" type="noConversion"/>
  </si>
  <si>
    <t>15min</t>
    <phoneticPr fontId="8" type="noConversion"/>
  </si>
  <si>
    <t>20min</t>
    <phoneticPr fontId="8" type="noConversion"/>
  </si>
  <si>
    <t>30min</t>
    <phoneticPr fontId="8" type="noConversion"/>
  </si>
  <si>
    <t>60min</t>
    <phoneticPr fontId="8" type="noConversion"/>
  </si>
  <si>
    <t>90min</t>
    <phoneticPr fontId="8" type="noConversion"/>
  </si>
  <si>
    <t>120min</t>
    <phoneticPr fontId="8" type="noConversion"/>
  </si>
  <si>
    <t>180min</t>
    <phoneticPr fontId="8" type="noConversion"/>
  </si>
  <si>
    <t>240min</t>
    <phoneticPr fontId="8" type="noConversion"/>
  </si>
  <si>
    <t>300min</t>
    <phoneticPr fontId="8" type="noConversion"/>
  </si>
  <si>
    <t>480min</t>
    <phoneticPr fontId="8" type="noConversion"/>
  </si>
  <si>
    <t>600min</t>
    <phoneticPr fontId="8" type="noConversion"/>
  </si>
  <si>
    <t>1200min</t>
    <phoneticPr fontId="8" type="noConversion"/>
  </si>
  <si>
    <t>SP12-50b</t>
    <phoneticPr fontId="8" type="noConversion"/>
  </si>
  <si>
    <t>SP12-65b</t>
    <phoneticPr fontId="8" type="noConversion"/>
  </si>
  <si>
    <t>SP12-100b</t>
    <phoneticPr fontId="8" type="noConversion"/>
  </si>
  <si>
    <t>SP12-250b</t>
    <phoneticPr fontId="8" type="noConversion"/>
  </si>
  <si>
    <r>
      <t>S</t>
    </r>
    <r>
      <rPr>
        <sz val="12"/>
        <rFont val="宋体"/>
        <family val="3"/>
        <charset val="134"/>
      </rPr>
      <t>PG12120b</t>
    </r>
    <phoneticPr fontId="8" type="noConversion"/>
  </si>
  <si>
    <t>5min</t>
    <phoneticPr fontId="8" type="noConversion"/>
  </si>
  <si>
    <r>
      <t>6</t>
    </r>
    <r>
      <rPr>
        <sz val="12"/>
        <rFont val="宋体"/>
        <family val="3"/>
        <charset val="134"/>
      </rPr>
      <t>0min</t>
    </r>
    <phoneticPr fontId="8" type="noConversion"/>
  </si>
  <si>
    <r>
      <t>9</t>
    </r>
    <r>
      <rPr>
        <sz val="12"/>
        <rFont val="宋体"/>
        <family val="3"/>
        <charset val="134"/>
      </rPr>
      <t>0min</t>
    </r>
    <phoneticPr fontId="8" type="noConversion"/>
  </si>
  <si>
    <r>
      <t>1</t>
    </r>
    <r>
      <rPr>
        <sz val="12"/>
        <rFont val="宋体"/>
        <family val="3"/>
        <charset val="134"/>
      </rPr>
      <t>20min</t>
    </r>
    <phoneticPr fontId="8" type="noConversion"/>
  </si>
  <si>
    <r>
      <t>1</t>
    </r>
    <r>
      <rPr>
        <sz val="12"/>
        <rFont val="宋体"/>
        <family val="3"/>
        <charset val="134"/>
      </rPr>
      <t>80min</t>
    </r>
    <phoneticPr fontId="8" type="noConversion"/>
  </si>
  <si>
    <r>
      <t>2</t>
    </r>
    <r>
      <rPr>
        <sz val="12"/>
        <rFont val="宋体"/>
        <family val="3"/>
        <charset val="134"/>
      </rPr>
      <t>40min</t>
    </r>
    <phoneticPr fontId="8" type="noConversion"/>
  </si>
  <si>
    <r>
      <t>3</t>
    </r>
    <r>
      <rPr>
        <sz val="12"/>
        <rFont val="宋体"/>
        <family val="3"/>
        <charset val="134"/>
      </rPr>
      <t>00min</t>
    </r>
    <phoneticPr fontId="8" type="noConversion"/>
  </si>
  <si>
    <r>
      <t>4</t>
    </r>
    <r>
      <rPr>
        <sz val="12"/>
        <rFont val="宋体"/>
        <family val="3"/>
        <charset val="134"/>
      </rPr>
      <t>80min</t>
    </r>
    <phoneticPr fontId="8" type="noConversion"/>
  </si>
  <si>
    <r>
      <t>6</t>
    </r>
    <r>
      <rPr>
        <sz val="12"/>
        <rFont val="宋体"/>
        <family val="3"/>
        <charset val="134"/>
      </rPr>
      <t>00min</t>
    </r>
    <phoneticPr fontId="8" type="noConversion"/>
  </si>
  <si>
    <t>SPG12160b</t>
    <phoneticPr fontId="8" type="noConversion"/>
  </si>
  <si>
    <t>SPG12215b</t>
    <phoneticPr fontId="8" type="noConversion"/>
  </si>
  <si>
    <t>SPG12255b</t>
    <phoneticPr fontId="8" type="noConversion"/>
  </si>
  <si>
    <t>SPG12300b</t>
    <phoneticPr fontId="8" type="noConversion"/>
  </si>
  <si>
    <t>SPG12330b</t>
    <phoneticPr fontId="8" type="noConversion"/>
  </si>
  <si>
    <t>SPG12360b</t>
    <phoneticPr fontId="8" type="noConversion"/>
  </si>
  <si>
    <t>SPG12400b</t>
    <phoneticPr fontId="8" type="noConversion"/>
  </si>
  <si>
    <t>SPG12420b</t>
    <phoneticPr fontId="8" type="noConversion"/>
  </si>
  <si>
    <t>SPG12490b</t>
    <phoneticPr fontId="8" type="noConversion"/>
  </si>
  <si>
    <t>SPG12540b</t>
    <phoneticPr fontId="8" type="noConversion"/>
  </si>
  <si>
    <t>SPG12605b</t>
    <phoneticPr fontId="8" type="noConversion"/>
  </si>
  <si>
    <t>SPG12650b</t>
    <phoneticPr fontId="8" type="noConversion"/>
  </si>
  <si>
    <t>SPG12705b</t>
    <phoneticPr fontId="8" type="noConversion"/>
  </si>
  <si>
    <t>SPG12750b</t>
    <phoneticPr fontId="8" type="noConversion"/>
  </si>
  <si>
    <t>SPG12800b</t>
    <phoneticPr fontId="8" type="noConversion"/>
  </si>
  <si>
    <t>SPG12890b</t>
    <phoneticPr fontId="8" type="noConversion"/>
  </si>
  <si>
    <t>SPG12175</t>
    <phoneticPr fontId="8" type="noConversion"/>
  </si>
  <si>
    <t>25min</t>
    <phoneticPr fontId="8" type="noConversion"/>
  </si>
  <si>
    <t>SPG12215</t>
    <phoneticPr fontId="8" type="noConversion"/>
  </si>
  <si>
    <t>SPG12255</t>
    <phoneticPr fontId="8" type="noConversion"/>
  </si>
  <si>
    <t>SPG12300</t>
    <phoneticPr fontId="8" type="noConversion"/>
  </si>
  <si>
    <t>SPG12320</t>
    <phoneticPr fontId="8" type="noConversion"/>
  </si>
  <si>
    <t>SPG12340</t>
    <phoneticPr fontId="8" type="noConversion"/>
  </si>
  <si>
    <t>SPG12390</t>
    <phoneticPr fontId="8" type="noConversion"/>
  </si>
  <si>
    <t>SPG12440</t>
    <phoneticPr fontId="8" type="noConversion"/>
  </si>
  <si>
    <t>SPG12490</t>
    <phoneticPr fontId="8" type="noConversion"/>
  </si>
  <si>
    <t>SPG12500</t>
    <phoneticPr fontId="8" type="noConversion"/>
  </si>
  <si>
    <t>SPG12570</t>
    <phoneticPr fontId="8" type="noConversion"/>
  </si>
  <si>
    <t>SPG12660</t>
    <phoneticPr fontId="8" type="noConversion"/>
  </si>
  <si>
    <t>SPG12770</t>
    <phoneticPr fontId="8" type="noConversion"/>
  </si>
  <si>
    <t>后备时间</t>
    <phoneticPr fontId="15" type="noConversion"/>
  </si>
  <si>
    <t>15min</t>
    <phoneticPr fontId="15" type="noConversion"/>
  </si>
  <si>
    <t>速算</t>
    <phoneticPr fontId="15" type="noConversion"/>
  </si>
  <si>
    <t>时间系数</t>
    <phoneticPr fontId="15" type="noConversion"/>
  </si>
  <si>
    <t>30min</t>
    <phoneticPr fontId="15" type="noConversion"/>
  </si>
  <si>
    <t>60min</t>
    <phoneticPr fontId="15" type="noConversion"/>
  </si>
  <si>
    <t>90min</t>
    <phoneticPr fontId="15" type="noConversion"/>
  </si>
  <si>
    <t>120min</t>
    <phoneticPr fontId="15" type="noConversion"/>
  </si>
  <si>
    <t>150min</t>
    <phoneticPr fontId="15" type="noConversion"/>
  </si>
  <si>
    <t>180min</t>
    <phoneticPr fontId="15" type="noConversion"/>
  </si>
  <si>
    <t>240min</t>
    <phoneticPr fontId="15" type="noConversion"/>
  </si>
  <si>
    <t>480min</t>
    <phoneticPr fontId="15" type="noConversion"/>
  </si>
  <si>
    <t>速算(Ah)</t>
    <phoneticPr fontId="15" type="noConversion"/>
  </si>
  <si>
    <t>负载功率（kW）</t>
    <phoneticPr fontId="2" type="noConversion"/>
  </si>
  <si>
    <t>GFMD-100B</t>
    <phoneticPr fontId="8" type="noConversion"/>
  </si>
  <si>
    <t>2V电池组节数</t>
    <phoneticPr fontId="2" type="noConversion"/>
  </si>
  <si>
    <t>GFMD-100B</t>
    <phoneticPr fontId="2" type="noConversion"/>
  </si>
  <si>
    <t>GFMD-200B</t>
    <phoneticPr fontId="8" type="noConversion"/>
  </si>
  <si>
    <t>GFMD-300B</t>
    <phoneticPr fontId="8" type="noConversion"/>
  </si>
  <si>
    <t>GFMD-400B</t>
    <phoneticPr fontId="8" type="noConversion"/>
  </si>
  <si>
    <t>GFMD-500B</t>
    <phoneticPr fontId="8" type="noConversion"/>
  </si>
  <si>
    <t>GFMD-600B</t>
    <phoneticPr fontId="8" type="noConversion"/>
  </si>
  <si>
    <t>GFMD-800B</t>
    <phoneticPr fontId="8" type="noConversion"/>
  </si>
  <si>
    <t>GFMD-1000B</t>
    <phoneticPr fontId="8" type="noConversion"/>
  </si>
  <si>
    <t>GFMD-1200B</t>
    <phoneticPr fontId="8" type="noConversion"/>
  </si>
  <si>
    <t>GFMD-1500B</t>
    <phoneticPr fontId="8" type="noConversion"/>
  </si>
  <si>
    <t>GFMD-2000B</t>
    <phoneticPr fontId="8" type="noConversion"/>
  </si>
  <si>
    <t>GFMD-200B</t>
    <phoneticPr fontId="2" type="noConversion"/>
  </si>
  <si>
    <t>GFMD-300B</t>
    <phoneticPr fontId="2" type="noConversion"/>
  </si>
  <si>
    <t>GFMD-400B</t>
    <phoneticPr fontId="2" type="noConversion"/>
  </si>
  <si>
    <t>GFMD-500B</t>
    <phoneticPr fontId="2" type="noConversion"/>
  </si>
  <si>
    <t>GFMD-600B</t>
    <phoneticPr fontId="2" type="noConversion"/>
  </si>
  <si>
    <t>GFMD-800B</t>
    <phoneticPr fontId="2" type="noConversion"/>
  </si>
  <si>
    <t>GFMD-1000B</t>
    <phoneticPr fontId="2" type="noConversion"/>
  </si>
  <si>
    <t>GFMD-1200B</t>
    <phoneticPr fontId="2" type="noConversion"/>
  </si>
  <si>
    <t>GFMD-1500B</t>
    <phoneticPr fontId="2" type="noConversion"/>
  </si>
  <si>
    <t>GFMD-2000B</t>
    <phoneticPr fontId="2" type="noConversion"/>
  </si>
  <si>
    <t>45min</t>
    <phoneticPr fontId="2" type="noConversion"/>
  </si>
  <si>
    <t>国产</t>
  </si>
  <si>
    <t>60min</t>
  </si>
  <si>
    <r>
      <t>功率因数cos</t>
    </r>
    <r>
      <rPr>
        <b/>
        <sz val="10"/>
        <rFont val="Calibri"/>
        <family val="3"/>
        <charset val="161"/>
      </rPr>
      <t>φ</t>
    </r>
    <r>
      <rPr>
        <b/>
        <sz val="10"/>
        <rFont val="黑体"/>
        <family val="3"/>
        <charset val="134"/>
      </rPr>
      <t>（0.8~1）</t>
    </r>
    <phoneticPr fontId="2" type="noConversion"/>
  </si>
  <si>
    <r>
      <t>逆变器效率</t>
    </r>
    <r>
      <rPr>
        <b/>
        <sz val="10"/>
        <rFont val="Calibri"/>
        <family val="3"/>
        <charset val="161"/>
      </rPr>
      <t>μ</t>
    </r>
    <r>
      <rPr>
        <b/>
        <sz val="10"/>
        <rFont val="黑体"/>
        <family val="3"/>
        <charset val="134"/>
      </rPr>
      <t>（0.9~1）</t>
    </r>
    <phoneticPr fontId="2" type="noConversion"/>
  </si>
  <si>
    <t>15min</t>
  </si>
  <si>
    <t>GFMD-3000B</t>
    <phoneticPr fontId="8" type="noConversion"/>
  </si>
  <si>
    <t>SPG12185b</t>
    <phoneticPr fontId="2" type="noConversion"/>
  </si>
  <si>
    <t>SPG12185b</t>
    <phoneticPr fontId="8" type="noConversion"/>
  </si>
  <si>
    <t>GFMD-3000B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</si>
</sst>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_);[Red]\(0\)"/>
    <numFmt numFmtId="178" formatCode="0_ "/>
  </numFmts>
  <fonts count="17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黑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Times New Roman"/>
      <family val="1"/>
    </font>
    <font>
      <sz val="10"/>
      <color rgb="FFFF0000"/>
      <name val="黑体"/>
      <family val="3"/>
      <charset val="134"/>
    </font>
    <font>
      <sz val="12"/>
      <name val="宋体"/>
      <family val="3"/>
      <charset val="134"/>
    </font>
    <font>
      <b/>
      <sz val="10"/>
      <name val="黑体"/>
      <family val="3"/>
      <charset val="134"/>
    </font>
    <font>
      <sz val="10"/>
      <color theme="1"/>
      <name val="黑体"/>
      <family val="3"/>
      <charset val="134"/>
    </font>
    <font>
      <b/>
      <sz val="10"/>
      <color theme="1"/>
      <name val="黑体"/>
      <family val="3"/>
      <charset val="134"/>
    </font>
    <font>
      <sz val="11"/>
      <color rgb="FF000000"/>
      <name val="等线"/>
      <family val="3"/>
      <charset val="134"/>
    </font>
    <font>
      <b/>
      <sz val="10"/>
      <name val="Calibri"/>
      <family val="3"/>
      <charset val="16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 applyProtection="0"/>
  </cellStyleXfs>
  <cellXfs count="97">
    <xf numFmtId="0" fontId="0" fillId="0" borderId="0" xfId="0" applyProtection="1"/>
    <xf numFmtId="0" fontId="3" fillId="0" borderId="0" xfId="0" applyFont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1" fillId="0" borderId="0" xfId="0" applyFont="1" applyProtection="1"/>
    <xf numFmtId="0" fontId="11" fillId="0" borderId="4" xfId="0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176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77" fontId="4" fillId="0" borderId="2" xfId="0" applyNumberFormat="1" applyFont="1" applyBorder="1" applyAlignment="1" applyProtection="1">
      <alignment horizontal="center" vertical="center" wrapText="1"/>
      <protection locked="0"/>
    </xf>
    <xf numFmtId="176" fontId="1" fillId="0" borderId="2" xfId="0" applyNumberFormat="1" applyFont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 vertical="center"/>
    </xf>
    <xf numFmtId="0" fontId="9" fillId="3" borderId="2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0" fontId="4" fillId="0" borderId="0" xfId="0" applyFont="1" applyProtection="1"/>
    <xf numFmtId="177" fontId="12" fillId="0" borderId="2" xfId="0" applyNumberFormat="1" applyFont="1" applyBorder="1" applyAlignment="1" applyProtection="1">
      <alignment horizontal="center" vertical="center" wrapText="1"/>
    </xf>
    <xf numFmtId="177" fontId="12" fillId="0" borderId="4" xfId="0" applyNumberFormat="1" applyFont="1" applyBorder="1" applyAlignment="1" applyProtection="1">
      <alignment horizontal="center" vertical="center" wrapText="1"/>
    </xf>
    <xf numFmtId="177" fontId="12" fillId="2" borderId="4" xfId="0" applyNumberFormat="1" applyFont="1" applyFill="1" applyBorder="1" applyAlignment="1" applyProtection="1">
      <alignment horizontal="center" vertical="center" wrapText="1"/>
    </xf>
    <xf numFmtId="177" fontId="12" fillId="0" borderId="6" xfId="0" applyNumberFormat="1" applyFont="1" applyBorder="1" applyAlignment="1" applyProtection="1">
      <alignment horizontal="center" vertical="center" wrapText="1"/>
    </xf>
    <xf numFmtId="177" fontId="12" fillId="0" borderId="5" xfId="0" applyNumberFormat="1" applyFont="1" applyBorder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" fillId="3" borderId="4" xfId="0" applyFont="1" applyFill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/>
    </xf>
    <xf numFmtId="0" fontId="0" fillId="0" borderId="9" xfId="0" applyBorder="1" applyProtection="1"/>
    <xf numFmtId="0" fontId="15" fillId="0" borderId="4" xfId="0" applyFont="1" applyBorder="1" applyAlignment="1" applyProtection="1">
      <alignment horizontal="center" vertical="center" wrapText="1"/>
    </xf>
    <xf numFmtId="178" fontId="15" fillId="0" borderId="4" xfId="0" applyNumberFormat="1" applyFont="1" applyBorder="1" applyAlignment="1" applyProtection="1">
      <alignment horizontal="center" vertical="center" wrapText="1"/>
    </xf>
    <xf numFmtId="176" fontId="15" fillId="0" borderId="4" xfId="0" applyNumberFormat="1" applyFont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177" fontId="4" fillId="0" borderId="4" xfId="0" applyNumberFormat="1" applyFont="1" applyBorder="1" applyAlignment="1" applyProtection="1">
      <alignment horizontal="center" vertical="center" wrapText="1"/>
      <protection hidden="1"/>
    </xf>
    <xf numFmtId="177" fontId="4" fillId="0" borderId="2" xfId="0" applyNumberFormat="1" applyFont="1" applyBorder="1" applyAlignment="1" applyProtection="1">
      <alignment horizontal="center" vertical="center" wrapText="1"/>
      <protection hidden="1"/>
    </xf>
    <xf numFmtId="177" fontId="10" fillId="0" borderId="2" xfId="0" applyNumberFormat="1" applyFont="1" applyBorder="1" applyAlignment="1" applyProtection="1">
      <alignment horizontal="center" vertical="center" wrapText="1"/>
      <protection hidden="1"/>
    </xf>
    <xf numFmtId="177" fontId="4" fillId="0" borderId="5" xfId="0" applyNumberFormat="1" applyFont="1" applyBorder="1" applyAlignment="1" applyProtection="1">
      <alignment horizontal="center" vertical="center" wrapText="1"/>
      <protection hidden="1"/>
    </xf>
    <xf numFmtId="177" fontId="4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0" fillId="0" borderId="4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0" xfId="0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15" fillId="0" borderId="4" xfId="0" applyFont="1" applyBorder="1" applyAlignment="1" applyProtection="1">
      <alignment horizontal="center" vertical="center" wrapText="1"/>
      <protection hidden="1"/>
    </xf>
    <xf numFmtId="178" fontId="15" fillId="0" borderId="4" xfId="0" applyNumberFormat="1" applyFont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176" fontId="15" fillId="0" borderId="4" xfId="0" applyNumberFormat="1" applyFont="1" applyBorder="1" applyAlignment="1" applyProtection="1">
      <alignment horizontal="center" vertical="center"/>
      <protection hidden="1"/>
    </xf>
    <xf numFmtId="178" fontId="15" fillId="0" borderId="4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4" borderId="4" xfId="0" applyFill="1" applyBorder="1" applyAlignment="1" applyProtection="1">
      <alignment horizontal="center" vertical="center"/>
      <protection hidden="1"/>
    </xf>
    <xf numFmtId="177" fontId="4" fillId="0" borderId="2" xfId="0" applyNumberFormat="1" applyFont="1" applyBorder="1" applyAlignment="1" applyProtection="1">
      <alignment horizontal="center" vertical="center" wrapText="1"/>
      <protection locked="0" hidden="1"/>
    </xf>
    <xf numFmtId="0" fontId="4" fillId="0" borderId="4" xfId="0" applyFont="1" applyBorder="1" applyAlignment="1" applyProtection="1">
      <alignment horizontal="center" vertical="center" wrapText="1"/>
      <protection hidden="1"/>
    </xf>
    <xf numFmtId="177" fontId="3" fillId="0" borderId="4" xfId="0" applyNumberFormat="1" applyFont="1" applyBorder="1" applyAlignment="1" applyProtection="1">
      <alignment horizontal="center" vertical="center"/>
      <protection hidden="1"/>
    </xf>
    <xf numFmtId="177" fontId="0" fillId="0" borderId="3" xfId="0" applyNumberFormat="1" applyBorder="1" applyAlignment="1" applyProtection="1">
      <alignment horizontal="center"/>
      <protection hidden="1"/>
    </xf>
    <xf numFmtId="177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1" fillId="0" borderId="4" xfId="0" applyFont="1" applyBorder="1" applyAlignment="1" applyProtection="1">
      <alignment horizontal="center"/>
    </xf>
    <xf numFmtId="0" fontId="1" fillId="2" borderId="4" xfId="0" applyFont="1" applyFill="1" applyBorder="1" applyAlignment="1" applyProtection="1">
      <alignment horizontal="center" vertical="center"/>
    </xf>
    <xf numFmtId="177" fontId="4" fillId="2" borderId="2" xfId="0" applyNumberFormat="1" applyFont="1" applyFill="1" applyBorder="1" applyAlignment="1" applyProtection="1">
      <alignment horizontal="center" vertical="center" wrapText="1"/>
      <protection hidden="1"/>
    </xf>
    <xf numFmtId="177" fontId="10" fillId="0" borderId="4" xfId="0" applyNumberFormat="1" applyFont="1" applyBorder="1" applyAlignment="1" applyProtection="1">
      <alignment horizontal="center" vertical="center" wrapText="1"/>
      <protection hidden="1"/>
    </xf>
    <xf numFmtId="177" fontId="12" fillId="0" borderId="0" xfId="0" applyNumberFormat="1" applyFont="1" applyAlignment="1" applyProtection="1">
      <alignment horizontal="center" vertical="center" wrapText="1"/>
      <protection hidden="1"/>
    </xf>
    <xf numFmtId="177" fontId="4" fillId="0" borderId="0" xfId="0" applyNumberFormat="1" applyFont="1" applyAlignment="1" applyProtection="1">
      <alignment horizontal="center" vertical="center" wrapText="1"/>
      <protection hidden="1"/>
    </xf>
    <xf numFmtId="177" fontId="10" fillId="0" borderId="0" xfId="0" applyNumberFormat="1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77" fontId="12" fillId="0" borderId="12" xfId="0" applyNumberFormat="1" applyFont="1" applyBorder="1" applyAlignment="1" applyProtection="1">
      <alignment horizontal="center" vertical="center" wrapText="1"/>
      <protection hidden="1"/>
    </xf>
    <xf numFmtId="177" fontId="12" fillId="0" borderId="13" xfId="0" applyNumberFormat="1" applyFont="1" applyBorder="1" applyAlignment="1" applyProtection="1">
      <alignment horizontal="center" vertical="center" wrapText="1"/>
      <protection hidden="1"/>
    </xf>
    <xf numFmtId="177" fontId="12" fillId="0" borderId="14" xfId="0" applyNumberFormat="1" applyFont="1" applyBorder="1" applyAlignment="1" applyProtection="1">
      <alignment horizontal="center" vertical="center" wrapText="1"/>
      <protection hidden="1"/>
    </xf>
    <xf numFmtId="177" fontId="4" fillId="0" borderId="15" xfId="0" applyNumberFormat="1" applyFont="1" applyBorder="1" applyAlignment="1" applyProtection="1">
      <alignment horizontal="center" vertical="center" wrapText="1"/>
      <protection hidden="1"/>
    </xf>
    <xf numFmtId="177" fontId="4" fillId="0" borderId="16" xfId="0" applyNumberFormat="1" applyFont="1" applyBorder="1" applyAlignment="1" applyProtection="1">
      <alignment horizontal="center" vertical="center" wrapText="1"/>
      <protection hidden="1"/>
    </xf>
    <xf numFmtId="177" fontId="4" fillId="0" borderId="17" xfId="0" applyNumberFormat="1" applyFont="1" applyBorder="1" applyAlignment="1" applyProtection="1">
      <alignment horizontal="center" vertical="center" wrapText="1"/>
      <protection hidden="1"/>
    </xf>
    <xf numFmtId="177" fontId="4" fillId="0" borderId="18" xfId="0" applyNumberFormat="1" applyFont="1" applyBorder="1" applyAlignment="1" applyProtection="1">
      <alignment horizontal="center" vertical="center" wrapText="1"/>
      <protection hidden="1"/>
    </xf>
    <xf numFmtId="177" fontId="10" fillId="0" borderId="18" xfId="0" applyNumberFormat="1" applyFont="1" applyBorder="1" applyAlignment="1" applyProtection="1">
      <alignment horizontal="center" vertical="center" wrapText="1"/>
      <protection hidden="1"/>
    </xf>
    <xf numFmtId="177" fontId="4" fillId="0" borderId="19" xfId="0" applyNumberFormat="1" applyFont="1" applyBorder="1" applyAlignment="1" applyProtection="1">
      <alignment horizontal="center" vertical="center" wrapText="1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14" fillId="0" borderId="14" xfId="0" applyFont="1" applyBorder="1" applyAlignment="1" applyProtection="1">
      <alignment horizontal="center" vertical="center"/>
      <protection hidden="1"/>
    </xf>
    <xf numFmtId="0" fontId="13" fillId="0" borderId="15" xfId="0" applyFont="1" applyBorder="1" applyAlignment="1" applyProtection="1">
      <alignment horizontal="center" vertical="center"/>
      <protection hidden="1"/>
    </xf>
    <xf numFmtId="0" fontId="13" fillId="0" borderId="16" xfId="0" applyFont="1" applyBorder="1" applyAlignment="1" applyProtection="1">
      <alignment horizontal="center" vertical="center"/>
      <protection hidden="1"/>
    </xf>
    <xf numFmtId="0" fontId="0" fillId="0" borderId="1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3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V235"/>
  <sheetViews>
    <sheetView zoomScaleNormal="100" workbookViewId="0">
      <selection activeCell="E19" sqref="E19"/>
    </sheetView>
  </sheetViews>
  <sheetFormatPr defaultRowHeight="14.25" x14ac:dyDescent="0.15"/>
  <cols>
    <col min="2" max="2" width="8.875" customWidth="1"/>
    <col min="3" max="3" width="18.375" bestFit="1" customWidth="1"/>
    <col min="4" max="4" width="12.25" bestFit="1" customWidth="1"/>
    <col min="5" max="5" width="15.25" customWidth="1"/>
    <col min="6" max="6" width="9.125" customWidth="1"/>
    <col min="7" max="7" width="19" customWidth="1"/>
    <col min="8" max="8" width="13.25" customWidth="1"/>
    <col min="9" max="9" width="17" customWidth="1"/>
    <col min="10" max="10" width="34" customWidth="1"/>
    <col min="11" max="11" width="16.25" customWidth="1"/>
    <col min="13" max="13" width="11.125" customWidth="1"/>
    <col min="14" max="14" width="14.5" customWidth="1"/>
    <col min="15" max="15" width="9" style="21"/>
  </cols>
  <sheetData>
    <row r="1" spans="1:22" ht="54" customHeight="1" x14ac:dyDescent="0.15">
      <c r="A1" s="23" t="s">
        <v>249</v>
      </c>
      <c r="B1" s="22" t="s">
        <v>30</v>
      </c>
      <c r="C1" s="22" t="s">
        <v>4</v>
      </c>
      <c r="D1" s="22" t="s">
        <v>5</v>
      </c>
      <c r="E1" s="22" t="s">
        <v>276</v>
      </c>
      <c r="F1" s="22" t="s">
        <v>277</v>
      </c>
      <c r="G1" s="22" t="s">
        <v>6</v>
      </c>
      <c r="H1" s="22" t="s">
        <v>7</v>
      </c>
      <c r="I1" s="22" t="s">
        <v>8</v>
      </c>
      <c r="J1" s="23" t="s">
        <v>36</v>
      </c>
      <c r="K1" s="22" t="s">
        <v>154</v>
      </c>
      <c r="M1" s="36" t="s">
        <v>236</v>
      </c>
      <c r="N1" s="37" t="s">
        <v>248</v>
      </c>
    </row>
    <row r="2" spans="1:22" x14ac:dyDescent="0.15">
      <c r="A2" s="39">
        <v>312</v>
      </c>
      <c r="B2" s="14">
        <v>400</v>
      </c>
      <c r="C2" s="13">
        <v>40</v>
      </c>
      <c r="D2" s="13">
        <v>3</v>
      </c>
      <c r="E2" s="13">
        <v>0.95</v>
      </c>
      <c r="F2" s="13">
        <f>IF(B2&gt;100,0.95,0.93)</f>
        <v>0.95</v>
      </c>
      <c r="G2" s="16" t="s">
        <v>278</v>
      </c>
      <c r="H2" s="13">
        <v>1.7</v>
      </c>
      <c r="I2" s="63">
        <f>IF(A2="",B2*E2*1000/(F2*C2*D2*6),A2*1000/(F2*C2*D2*6))</f>
        <v>456.14035087719299</v>
      </c>
      <c r="J2" s="64" t="str">
        <f>IF(K2="否",INDEX(C9:C23,MATCH("满足",E9:E23,0)),INDEX(G9:G39,MATCH("满足",I9:I39,0)))</f>
        <v>SPG12490</v>
      </c>
      <c r="K2" s="15" t="s">
        <v>83</v>
      </c>
      <c r="M2" s="38" t="str">
        <f>G2</f>
        <v>15min</v>
      </c>
      <c r="N2" s="57">
        <f>B2*1000*E2/(C2*12*0.8*F2*HLOOKUP(M2,M6:V7,2,FALSE))/D2</f>
        <v>192.90123456790124</v>
      </c>
    </row>
    <row r="3" spans="1:22" x14ac:dyDescent="0.15">
      <c r="O3"/>
    </row>
    <row r="4" spans="1:22" x14ac:dyDescent="0.15">
      <c r="O4"/>
    </row>
    <row r="5" spans="1:22" ht="36" x14ac:dyDescent="0.15">
      <c r="B5" s="22" t="s">
        <v>26</v>
      </c>
      <c r="C5" s="22" t="s">
        <v>27</v>
      </c>
      <c r="D5" s="24" t="s">
        <v>24</v>
      </c>
      <c r="E5" s="24" t="s">
        <v>25</v>
      </c>
      <c r="F5" s="22" t="s">
        <v>28</v>
      </c>
      <c r="G5" s="24" t="s">
        <v>32</v>
      </c>
      <c r="H5" s="24" t="s">
        <v>33</v>
      </c>
      <c r="I5" s="24" t="s">
        <v>34</v>
      </c>
      <c r="J5" s="24" t="s">
        <v>35</v>
      </c>
      <c r="K5" s="22" t="s">
        <v>37</v>
      </c>
      <c r="M5" s="91" t="s">
        <v>238</v>
      </c>
      <c r="N5" s="92"/>
      <c r="O5" s="92"/>
      <c r="P5" s="92"/>
      <c r="Q5" s="92"/>
      <c r="R5" s="92"/>
      <c r="S5" s="92"/>
      <c r="T5" s="92"/>
      <c r="U5" s="92"/>
      <c r="V5" s="93"/>
    </row>
    <row r="6" spans="1:22" ht="82.5" customHeight="1" x14ac:dyDescent="0.15">
      <c r="B6" s="41">
        <f>IF(A2="",B2*E2*1000/(C2*H2*6*F2),A2*1000/(F2*C2*H2*6))</f>
        <v>804.95356037151714</v>
      </c>
      <c r="C6" s="41">
        <f>IF(D2=1,"NA",B6/(D2-1))</f>
        <v>402.47678018575857</v>
      </c>
      <c r="D6" s="59">
        <f>IF(K6="是",LARGE(断路器!$A$1:$A$25,COUNTIF(断路器!$A$1:$A$25,"&gt;"&amp;B$6)),"无主开关")</f>
        <v>1000</v>
      </c>
      <c r="E6" s="59">
        <f>IF(D2=1,"无",LARGE(断路器!$A$1:$A$25,COUNTIF(断路器!$A$1:$A$25,"&gt;"&amp;C$6)))</f>
        <v>500</v>
      </c>
      <c r="F6" s="41" t="s">
        <v>29</v>
      </c>
      <c r="G6" s="41" t="str">
        <f>IF(C2&lt;=35,"3P","4P")</f>
        <v>4P</v>
      </c>
      <c r="H6" s="41" t="str">
        <f>IF(G6="3P","DC500V","DC750V")</f>
        <v>DC750V</v>
      </c>
      <c r="I6" s="41" t="str">
        <f>IF(D2=1,CONCATENATE("输入",D6,"/",G6,"-",H6,"-",F6,"-","主开关与UPS联动","-","带中性线"),IF(K6="是",CONCATENATE("输入",D6,"/",G6,"-",H6,"-","输出",D2,"*",E6,"/",G6,"-",F6,"-","主开关与UPS联动","-","带中性线"),CONCATENATE(D6,"-",H6,"-","输出",D2,"*",E6,"/",G6,"-",F6,"-","主开关与UPS联动","-","带中性线")))</f>
        <v>输入1000/4P-DC750V-输出3*500/4P-ABB-主开关与UPS联动-带中性线</v>
      </c>
      <c r="J6" s="61" t="str">
        <f>CONCATENATE(IF(D2=1,D6,E6),"A","-",C2,"节/组","-","电池型号","[",J2,"]","-","含电池连接铜排与导线")</f>
        <v>500A-40节/组-电池型号[SPG12490]-含电池连接铜排与导线</v>
      </c>
      <c r="K6" s="15" t="s">
        <v>83</v>
      </c>
      <c r="M6" s="36" t="s">
        <v>239</v>
      </c>
      <c r="N6" s="36" t="s">
        <v>237</v>
      </c>
      <c r="O6" s="36" t="s">
        <v>240</v>
      </c>
      <c r="P6" s="36" t="s">
        <v>241</v>
      </c>
      <c r="Q6" s="36" t="s">
        <v>242</v>
      </c>
      <c r="R6" s="36" t="s">
        <v>243</v>
      </c>
      <c r="S6" s="36" t="s">
        <v>244</v>
      </c>
      <c r="T6" s="36" t="s">
        <v>245</v>
      </c>
      <c r="U6" s="36" t="s">
        <v>246</v>
      </c>
      <c r="V6" s="36" t="s">
        <v>247</v>
      </c>
    </row>
    <row r="7" spans="1:22" x14ac:dyDescent="0.15">
      <c r="M7" s="36" t="s">
        <v>239</v>
      </c>
      <c r="N7" s="9">
        <v>1.8</v>
      </c>
      <c r="O7" s="9">
        <v>1.2</v>
      </c>
      <c r="P7" s="9">
        <v>0.6</v>
      </c>
      <c r="Q7" s="9">
        <v>0.45</v>
      </c>
      <c r="R7" s="9">
        <v>0.36</v>
      </c>
      <c r="S7" s="9">
        <v>0.3</v>
      </c>
      <c r="T7" s="9">
        <v>0.24</v>
      </c>
      <c r="U7" s="9">
        <v>0.18</v>
      </c>
      <c r="V7" s="9">
        <v>0.12</v>
      </c>
    </row>
    <row r="8" spans="1:22" x14ac:dyDescent="0.15">
      <c r="B8" s="23" t="s">
        <v>9</v>
      </c>
      <c r="C8" s="22" t="s">
        <v>100</v>
      </c>
      <c r="D8" s="22" t="s">
        <v>82</v>
      </c>
      <c r="E8" s="26" t="s">
        <v>84</v>
      </c>
      <c r="F8" s="25" t="s">
        <v>9</v>
      </c>
      <c r="G8" s="22" t="s">
        <v>153</v>
      </c>
      <c r="H8" s="22" t="s">
        <v>82</v>
      </c>
      <c r="I8" s="26" t="s">
        <v>84</v>
      </c>
      <c r="J8" s="28" t="s">
        <v>6</v>
      </c>
      <c r="K8" s="29" t="s">
        <v>21</v>
      </c>
    </row>
    <row r="9" spans="1:22" s="50" customFormat="1" ht="20.100000000000001" customHeight="1" x14ac:dyDescent="0.15">
      <c r="B9" s="40">
        <v>1</v>
      </c>
      <c r="C9" s="41" t="s">
        <v>98</v>
      </c>
      <c r="D9" s="42" cm="1">
        <f t="array" ref="D9">FindData(C9,$H$2,$G$2)</f>
        <v>123</v>
      </c>
      <c r="E9" s="43" t="str">
        <f>IF(OR(D9="未找到数据。",D9="未找到表头。"),"×",IF(D9&gt;=$I$2,"满足","不满足"))</f>
        <v>不满足</v>
      </c>
      <c r="F9" s="44">
        <v>1</v>
      </c>
      <c r="G9" s="41" t="s">
        <v>119</v>
      </c>
      <c r="H9" s="42" cm="1">
        <f t="array" ref="H9">FindData(G9,$H$2,$G$2)</f>
        <v>118.1</v>
      </c>
      <c r="I9" s="43" t="str">
        <f>IF(OR(H9="未找到数据。",H9="未找到表头。"),"×",IF(H9&gt;=$I$2,"满足","不满足"))</f>
        <v>不满足</v>
      </c>
      <c r="J9" s="45" t="s">
        <v>20</v>
      </c>
      <c r="K9" s="46">
        <v>1.6</v>
      </c>
      <c r="O9" s="55"/>
    </row>
    <row r="10" spans="1:22" s="50" customFormat="1" ht="20.100000000000001" customHeight="1" x14ac:dyDescent="0.15">
      <c r="B10" s="41">
        <v>2</v>
      </c>
      <c r="C10" s="41" t="s">
        <v>99</v>
      </c>
      <c r="D10" s="42" cm="1">
        <f t="array" ref="D10">FindData(C10,$H$2,$G$2)</f>
        <v>102.9</v>
      </c>
      <c r="E10" s="43" t="str">
        <f t="shared" ref="E10:E27" si="0">IF(OR(D10="未找到数据。",D10="未找到表头。"),"×",IF(D10&gt;=$I$2,"满足","不满足"))</f>
        <v>不满足</v>
      </c>
      <c r="F10" s="44">
        <v>2</v>
      </c>
      <c r="G10" s="41" t="s">
        <v>120</v>
      </c>
      <c r="H10" s="42" cm="1">
        <f t="array" ref="H10">FindData(G10,$H$2,$G$2)</f>
        <v>147.9</v>
      </c>
      <c r="I10" s="43" t="str">
        <f t="shared" ref="I10:I43" si="1">IF(OR(H10="未找到数据。",H10="未找到表头。"),"×",IF(H10&gt;=$I$2,"满足","不满足"))</f>
        <v>不满足</v>
      </c>
      <c r="J10" s="45" t="s">
        <v>85</v>
      </c>
      <c r="K10" s="46">
        <v>1.65</v>
      </c>
      <c r="O10" s="55"/>
    </row>
    <row r="11" spans="1:22" s="50" customFormat="1" ht="20.100000000000001" customHeight="1" x14ac:dyDescent="0.15">
      <c r="B11" s="41">
        <v>3</v>
      </c>
      <c r="C11" s="41" t="s">
        <v>101</v>
      </c>
      <c r="D11" s="42" cm="1">
        <f t="array" ref="D11">FindData(C11,$H$2,$G$2)</f>
        <v>135</v>
      </c>
      <c r="E11" s="43" t="str">
        <f t="shared" si="0"/>
        <v>不满足</v>
      </c>
      <c r="F11" s="44">
        <v>3</v>
      </c>
      <c r="G11" s="41" t="s">
        <v>121</v>
      </c>
      <c r="H11" s="42" cm="1">
        <f t="array" ref="H11">FindData(G11,$H$2,$G$2)</f>
        <v>170</v>
      </c>
      <c r="I11" s="43" t="str">
        <f t="shared" si="1"/>
        <v>不满足</v>
      </c>
      <c r="J11" s="45" t="s">
        <v>86</v>
      </c>
      <c r="K11" s="46">
        <v>1.67</v>
      </c>
      <c r="O11" s="55"/>
    </row>
    <row r="12" spans="1:22" s="50" customFormat="1" ht="20.100000000000001" customHeight="1" x14ac:dyDescent="0.15">
      <c r="B12" s="41">
        <v>4</v>
      </c>
      <c r="C12" s="41" t="s">
        <v>102</v>
      </c>
      <c r="D12" s="42" cm="1">
        <f t="array" ref="D12">FindData(C12,$H$2,$G$2)</f>
        <v>153</v>
      </c>
      <c r="E12" s="43" t="str">
        <f t="shared" si="0"/>
        <v>不满足</v>
      </c>
      <c r="F12" s="44">
        <v>4</v>
      </c>
      <c r="G12" s="68" t="s">
        <v>280</v>
      </c>
      <c r="H12" s="42" cm="1">
        <f t="array" ref="H12">FindData(G12,$H$2,$G$2)</f>
        <v>180.7</v>
      </c>
      <c r="I12" s="43" t="str">
        <f t="shared" si="1"/>
        <v>不满足</v>
      </c>
      <c r="J12" s="45" t="s">
        <v>87</v>
      </c>
      <c r="K12" s="46">
        <v>1.7</v>
      </c>
      <c r="M12" s="65"/>
      <c r="O12" s="55"/>
    </row>
    <row r="13" spans="1:22" s="50" customFormat="1" ht="20.100000000000001" customHeight="1" x14ac:dyDescent="0.15">
      <c r="B13" s="40">
        <v>5</v>
      </c>
      <c r="C13" s="40" t="s">
        <v>103</v>
      </c>
      <c r="D13" s="42" cm="1">
        <f t="array" ref="D13">FindData(C13,$H$2,$G$2)</f>
        <v>135.4</v>
      </c>
      <c r="E13" s="43" t="str">
        <f t="shared" si="0"/>
        <v>不满足</v>
      </c>
      <c r="F13" s="44">
        <v>5</v>
      </c>
      <c r="G13" s="40" t="s">
        <v>122</v>
      </c>
      <c r="H13" s="42" cm="1">
        <f t="array" ref="H13">FindData(G13,$H$2,$G$2)</f>
        <v>209</v>
      </c>
      <c r="I13" s="43" t="str">
        <f t="shared" si="1"/>
        <v>不满足</v>
      </c>
      <c r="J13" s="45" t="s">
        <v>88</v>
      </c>
      <c r="K13" s="46">
        <v>1.75</v>
      </c>
      <c r="O13" s="55"/>
    </row>
    <row r="14" spans="1:22" s="50" customFormat="1" ht="20.100000000000001" customHeight="1" x14ac:dyDescent="0.15">
      <c r="B14" s="40">
        <v>6</v>
      </c>
      <c r="C14" s="40" t="s">
        <v>104</v>
      </c>
      <c r="D14" s="42" cm="1">
        <f t="array" ref="D14">FindData(C14,$H$2,$G$2)</f>
        <v>196</v>
      </c>
      <c r="E14" s="43" t="str">
        <f t="shared" si="0"/>
        <v>不满足</v>
      </c>
      <c r="F14" s="44">
        <v>6</v>
      </c>
      <c r="G14" s="40" t="s">
        <v>123</v>
      </c>
      <c r="H14" s="42" cm="1">
        <f t="array" ref="H14">FindData(G14,$H$2,$G$2)</f>
        <v>206.9</v>
      </c>
      <c r="I14" s="43" t="str">
        <f t="shared" si="1"/>
        <v>不满足</v>
      </c>
      <c r="J14" s="45" t="s">
        <v>273</v>
      </c>
      <c r="K14" s="46">
        <v>1.8</v>
      </c>
      <c r="O14" s="55"/>
    </row>
    <row r="15" spans="1:22" s="50" customFormat="1" ht="20.100000000000001" customHeight="1" x14ac:dyDescent="0.15">
      <c r="B15" s="40">
        <v>7</v>
      </c>
      <c r="C15" s="40" t="s">
        <v>105</v>
      </c>
      <c r="D15" s="42" cm="1">
        <f t="array" ref="D15">FindData(C15,$H$2,$G$2)</f>
        <v>199.1</v>
      </c>
      <c r="E15" s="43" t="str">
        <f t="shared" si="0"/>
        <v>不满足</v>
      </c>
      <c r="F15" s="44">
        <v>7</v>
      </c>
      <c r="G15" s="40" t="s">
        <v>124</v>
      </c>
      <c r="H15" s="42" cm="1">
        <f t="array" ref="H15">FindData(G15,$H$2,$G$2)</f>
        <v>252</v>
      </c>
      <c r="I15" s="43" t="str">
        <f t="shared" si="1"/>
        <v>不满足</v>
      </c>
      <c r="J15" s="45" t="s">
        <v>89</v>
      </c>
      <c r="K15" s="46">
        <v>1.85</v>
      </c>
      <c r="O15" s="55"/>
    </row>
    <row r="16" spans="1:22" s="50" customFormat="1" ht="20.100000000000001" customHeight="1" x14ac:dyDescent="0.15">
      <c r="B16" s="40">
        <v>8</v>
      </c>
      <c r="C16" s="40" t="s">
        <v>106</v>
      </c>
      <c r="D16" s="42" cm="1">
        <f t="array" ref="D16">FindData(C16,$H$2,$G$2)</f>
        <v>242</v>
      </c>
      <c r="E16" s="43" t="str">
        <f t="shared" si="0"/>
        <v>不满足</v>
      </c>
      <c r="F16" s="44">
        <v>8</v>
      </c>
      <c r="G16" s="40" t="s">
        <v>125</v>
      </c>
      <c r="H16" s="42" cm="1">
        <f t="array" ref="H16">FindData(G16,$H$2,$G$2)</f>
        <v>246.5</v>
      </c>
      <c r="I16" s="43" t="str">
        <f t="shared" si="1"/>
        <v>不满足</v>
      </c>
      <c r="J16" s="45" t="s">
        <v>90</v>
      </c>
      <c r="K16" s="46"/>
      <c r="O16" s="55"/>
    </row>
    <row r="17" spans="2:15" s="50" customFormat="1" ht="20.100000000000001" customHeight="1" x14ac:dyDescent="0.15">
      <c r="B17" s="40">
        <v>9</v>
      </c>
      <c r="C17" s="40" t="s">
        <v>107</v>
      </c>
      <c r="D17" s="42" cm="1">
        <f t="array" ref="D17">FindData(C17,$H$2,$G$2)</f>
        <v>198.1</v>
      </c>
      <c r="E17" s="43" t="str">
        <f t="shared" si="0"/>
        <v>不满足</v>
      </c>
      <c r="F17" s="44">
        <v>9</v>
      </c>
      <c r="G17" s="40" t="s">
        <v>126</v>
      </c>
      <c r="H17" s="42" cm="1">
        <f t="array" ref="H17">FindData(G17,$H$2,$G$2)</f>
        <v>296</v>
      </c>
      <c r="I17" s="43" t="str">
        <f t="shared" si="1"/>
        <v>不满足</v>
      </c>
      <c r="J17" s="45" t="s">
        <v>91</v>
      </c>
      <c r="K17" s="46"/>
      <c r="O17" s="55"/>
    </row>
    <row r="18" spans="2:15" s="50" customFormat="1" ht="20.100000000000001" customHeight="1" x14ac:dyDescent="0.15">
      <c r="B18" s="40">
        <v>10</v>
      </c>
      <c r="C18" s="40" t="s">
        <v>108</v>
      </c>
      <c r="D18" s="42" cm="1">
        <f t="array" ref="D18">FindData(C18,$H$2,$G$2)</f>
        <v>302.39999999999998</v>
      </c>
      <c r="E18" s="43" t="str">
        <f t="shared" si="0"/>
        <v>不满足</v>
      </c>
      <c r="F18" s="44">
        <v>10</v>
      </c>
      <c r="G18" s="40" t="s">
        <v>127</v>
      </c>
      <c r="H18" s="42" cm="1">
        <f t="array" ref="H18">FindData(G18,$H$2,$G$2)</f>
        <v>291</v>
      </c>
      <c r="I18" s="43" t="str">
        <f t="shared" si="1"/>
        <v>不满足</v>
      </c>
      <c r="J18" s="45" t="s">
        <v>92</v>
      </c>
      <c r="K18" s="46"/>
      <c r="O18" s="55"/>
    </row>
    <row r="19" spans="2:15" s="50" customFormat="1" ht="20.100000000000001" customHeight="1" x14ac:dyDescent="0.15">
      <c r="B19" s="40">
        <v>11</v>
      </c>
      <c r="C19" s="40" t="s">
        <v>109</v>
      </c>
      <c r="D19" s="42" cm="1">
        <f t="array" ref="D19">FindData(C19,$H$2,$G$2)</f>
        <v>270.89999999999998</v>
      </c>
      <c r="E19" s="43" t="str">
        <f t="shared" si="0"/>
        <v>不满足</v>
      </c>
      <c r="F19" s="44">
        <v>11</v>
      </c>
      <c r="G19" s="40" t="s">
        <v>128</v>
      </c>
      <c r="H19" s="42" cm="1">
        <f t="array" ref="H19">FindData(G19,$H$2,$G$2)</f>
        <v>314</v>
      </c>
      <c r="I19" s="43" t="str">
        <f t="shared" si="1"/>
        <v>不满足</v>
      </c>
      <c r="J19" s="45" t="s">
        <v>93</v>
      </c>
      <c r="K19" s="46"/>
      <c r="O19" s="55"/>
    </row>
    <row r="20" spans="2:15" s="50" customFormat="1" ht="20.100000000000001" customHeight="1" x14ac:dyDescent="0.15">
      <c r="B20" s="40">
        <v>12</v>
      </c>
      <c r="C20" s="40" t="s">
        <v>110</v>
      </c>
      <c r="D20" s="42" cm="1">
        <f t="array" ref="D20">FindData(C20,$H$2,$G$2)</f>
        <v>357</v>
      </c>
      <c r="E20" s="43" t="str">
        <f t="shared" si="0"/>
        <v>不满足</v>
      </c>
      <c r="F20" s="44">
        <v>12</v>
      </c>
      <c r="G20" s="40" t="s">
        <v>129</v>
      </c>
      <c r="H20" s="42" cm="1">
        <f t="array" ref="H20">FindData(G20,$H$2,$G$2)</f>
        <v>315</v>
      </c>
      <c r="I20" s="43" t="str">
        <f t="shared" si="1"/>
        <v>不满足</v>
      </c>
      <c r="J20" s="45" t="s">
        <v>94</v>
      </c>
      <c r="K20" s="46"/>
      <c r="O20" s="55"/>
    </row>
    <row r="21" spans="2:15" s="50" customFormat="1" ht="20.100000000000001" customHeight="1" x14ac:dyDescent="0.15">
      <c r="B21" s="40">
        <v>13</v>
      </c>
      <c r="C21" s="40" t="s">
        <v>111</v>
      </c>
      <c r="D21" s="42" cm="1">
        <f t="array" ref="D21">FindData(C21,$H$2,$G$2)</f>
        <v>325.10000000000002</v>
      </c>
      <c r="E21" s="43" t="str">
        <f t="shared" si="0"/>
        <v>不满足</v>
      </c>
      <c r="F21" s="44">
        <v>13</v>
      </c>
      <c r="G21" s="40" t="s">
        <v>130</v>
      </c>
      <c r="H21" s="42" cm="1">
        <f t="array" ref="H21">FindData(G21,$H$2,$G$2)</f>
        <v>330</v>
      </c>
      <c r="I21" s="43" t="str">
        <f t="shared" si="1"/>
        <v>不满足</v>
      </c>
      <c r="J21" s="45" t="s">
        <v>95</v>
      </c>
      <c r="K21" s="46"/>
      <c r="O21" s="55"/>
    </row>
    <row r="22" spans="2:15" s="50" customFormat="1" ht="20.100000000000001" customHeight="1" x14ac:dyDescent="0.15">
      <c r="B22" s="40">
        <v>14</v>
      </c>
      <c r="C22" s="40" t="s">
        <v>112</v>
      </c>
      <c r="D22" s="42" cm="1">
        <f t="array" ref="D22">FindData(C22,$H$2,$G$2)</f>
        <v>424.1</v>
      </c>
      <c r="E22" s="43" t="str">
        <f t="shared" si="0"/>
        <v>不满足</v>
      </c>
      <c r="F22" s="44">
        <v>14</v>
      </c>
      <c r="G22" s="40" t="s">
        <v>131</v>
      </c>
      <c r="H22" s="42" cm="1">
        <f t="array" ref="H22">FindData(G22,$H$2,$G$2)</f>
        <v>354.5</v>
      </c>
      <c r="I22" s="43" t="str">
        <f t="shared" si="1"/>
        <v>不满足</v>
      </c>
      <c r="J22" s="45" t="s">
        <v>96</v>
      </c>
      <c r="K22" s="46"/>
      <c r="O22" s="55"/>
    </row>
    <row r="23" spans="2:15" s="50" customFormat="1" ht="20.100000000000001" customHeight="1" x14ac:dyDescent="0.15">
      <c r="B23" s="40">
        <v>15</v>
      </c>
      <c r="C23" s="40" t="s">
        <v>113</v>
      </c>
      <c r="D23" s="42" cm="1">
        <f t="array" ref="D23">FindData(C23,$H$2,$G$2)</f>
        <v>406.3</v>
      </c>
      <c r="E23" s="43" t="str">
        <f t="shared" si="0"/>
        <v>不满足</v>
      </c>
      <c r="F23" s="44">
        <v>15</v>
      </c>
      <c r="G23" s="47" t="s">
        <v>132</v>
      </c>
      <c r="H23" s="42" cm="1">
        <f t="array" ref="H23">FindData(G23,$H$2,$G$2)</f>
        <v>385</v>
      </c>
      <c r="I23" s="43" t="str">
        <f t="shared" si="1"/>
        <v>不满足</v>
      </c>
      <c r="J23" s="45" t="s">
        <v>97</v>
      </c>
      <c r="K23" s="48"/>
      <c r="O23" s="55"/>
    </row>
    <row r="24" spans="2:15" s="50" customFormat="1" ht="20.100000000000001" customHeight="1" x14ac:dyDescent="0.15">
      <c r="B24" s="40">
        <v>16</v>
      </c>
      <c r="C24" s="40" t="s">
        <v>114</v>
      </c>
      <c r="D24" s="42" cm="1">
        <f t="array" ref="D24">FindData(C24,$H$2,$G$2)</f>
        <v>548</v>
      </c>
      <c r="E24" s="43" t="str">
        <f t="shared" si="0"/>
        <v>满足</v>
      </c>
      <c r="F24" s="44">
        <v>16</v>
      </c>
      <c r="G24" s="47" t="s">
        <v>133</v>
      </c>
      <c r="H24" s="42" cm="1">
        <f t="array" ref="H24">FindData(G24,$H$2,$G$2)</f>
        <v>393.9</v>
      </c>
      <c r="I24" s="43" t="str">
        <f t="shared" si="1"/>
        <v>不满足</v>
      </c>
      <c r="J24" s="45" t="s">
        <v>118</v>
      </c>
      <c r="K24" s="48"/>
      <c r="O24" s="55"/>
    </row>
    <row r="25" spans="2:15" s="50" customFormat="1" ht="20.100000000000001" customHeight="1" x14ac:dyDescent="0.15">
      <c r="B25" s="40">
        <v>17</v>
      </c>
      <c r="C25" s="40" t="s">
        <v>115</v>
      </c>
      <c r="D25" s="42" cm="1">
        <f t="array" ref="D25">FindData(C25,$H$2,$G$2)</f>
        <v>597.4</v>
      </c>
      <c r="E25" s="43" t="str">
        <f t="shared" si="0"/>
        <v>满足</v>
      </c>
      <c r="F25" s="44">
        <v>17</v>
      </c>
      <c r="G25" s="47" t="s">
        <v>134</v>
      </c>
      <c r="H25" s="42" cm="1">
        <f t="array" ref="H25">FindData(G25,$H$2,$G$2)</f>
        <v>413.3</v>
      </c>
      <c r="I25" s="43" t="str">
        <f t="shared" si="1"/>
        <v>不满足</v>
      </c>
      <c r="J25" s="49"/>
      <c r="K25" s="48"/>
      <c r="O25" s="55"/>
    </row>
    <row r="26" spans="2:15" s="50" customFormat="1" ht="20.100000000000001" customHeight="1" x14ac:dyDescent="0.15">
      <c r="B26" s="40">
        <v>18</v>
      </c>
      <c r="C26" s="40" t="s">
        <v>116</v>
      </c>
      <c r="D26" s="42" cm="1">
        <f t="array" ref="D26">FindData(C26,$H$2,$G$2)</f>
        <v>653</v>
      </c>
      <c r="E26" s="43" t="str">
        <f t="shared" si="0"/>
        <v>满足</v>
      </c>
      <c r="F26" s="44">
        <v>18</v>
      </c>
      <c r="G26" s="47" t="s">
        <v>135</v>
      </c>
      <c r="H26" s="42" cm="1">
        <f t="array" ref="H26">FindData(G26,$H$2,$G$2)</f>
        <v>431</v>
      </c>
      <c r="I26" s="43" t="str">
        <f t="shared" si="1"/>
        <v>不满足</v>
      </c>
      <c r="J26" s="49"/>
      <c r="K26" s="48"/>
      <c r="O26" s="55"/>
    </row>
    <row r="27" spans="2:15" s="50" customFormat="1" ht="20.100000000000001" customHeight="1" x14ac:dyDescent="0.15">
      <c r="B27" s="40">
        <v>19</v>
      </c>
      <c r="C27" s="40" t="s">
        <v>117</v>
      </c>
      <c r="D27" s="42" cm="1">
        <f t="array" ref="D27">FindData(C27,$H$2,$G$2)</f>
        <v>677.2</v>
      </c>
      <c r="E27" s="43" t="str">
        <f t="shared" si="0"/>
        <v>满足</v>
      </c>
      <c r="F27" s="44">
        <v>19</v>
      </c>
      <c r="G27" s="47" t="s">
        <v>136</v>
      </c>
      <c r="H27" s="42" cm="1">
        <f t="array" ref="H27">FindData(G27,$H$2,$G$2)</f>
        <v>474</v>
      </c>
      <c r="I27" s="43" t="str">
        <f t="shared" si="1"/>
        <v>满足</v>
      </c>
      <c r="J27" s="49"/>
      <c r="K27" s="48"/>
      <c r="O27" s="55"/>
    </row>
    <row r="28" spans="2:15" s="50" customFormat="1" ht="20.100000000000001" customHeight="1" x14ac:dyDescent="0.15">
      <c r="E28" s="51"/>
      <c r="F28" s="44">
        <v>20</v>
      </c>
      <c r="G28" s="47" t="s">
        <v>137</v>
      </c>
      <c r="H28" s="42" cm="1">
        <f t="array" ref="H28">FindData(G28,$H$2,$G$2)</f>
        <v>476.7</v>
      </c>
      <c r="I28" s="43" t="str">
        <f t="shared" si="1"/>
        <v>满足</v>
      </c>
      <c r="O28" s="55"/>
    </row>
    <row r="29" spans="2:15" s="50" customFormat="1" ht="20.100000000000001" customHeight="1" x14ac:dyDescent="0.15">
      <c r="E29" s="52"/>
      <c r="F29" s="44">
        <v>21</v>
      </c>
      <c r="G29" s="47" t="s">
        <v>138</v>
      </c>
      <c r="H29" s="42" cm="1">
        <f t="array" ref="H29">FindData(G29,$H$2,$G$2)</f>
        <v>489</v>
      </c>
      <c r="I29" s="43" t="str">
        <f t="shared" si="1"/>
        <v>满足</v>
      </c>
      <c r="O29" s="55"/>
    </row>
    <row r="30" spans="2:15" s="50" customFormat="1" ht="20.100000000000001" customHeight="1" x14ac:dyDescent="0.15">
      <c r="E30" s="52"/>
      <c r="F30" s="44">
        <v>22</v>
      </c>
      <c r="G30" s="47" t="s">
        <v>139</v>
      </c>
      <c r="H30" s="42" cm="1">
        <f t="array" ref="H30">FindData(G30,$H$2,$G$2)</f>
        <v>500.2</v>
      </c>
      <c r="I30" s="43" t="str">
        <f t="shared" si="1"/>
        <v>满足</v>
      </c>
      <c r="O30" s="55"/>
    </row>
    <row r="31" spans="2:15" s="50" customFormat="1" ht="20.100000000000001" customHeight="1" x14ac:dyDescent="0.15">
      <c r="E31" s="52"/>
      <c r="F31" s="44">
        <v>23</v>
      </c>
      <c r="G31" s="47" t="s">
        <v>140</v>
      </c>
      <c r="H31" s="42" cm="1">
        <f t="array" ref="H31">FindData(G31,$H$2,$G$2)</f>
        <v>550</v>
      </c>
      <c r="I31" s="43" t="str">
        <f t="shared" si="1"/>
        <v>满足</v>
      </c>
      <c r="O31" s="55"/>
    </row>
    <row r="32" spans="2:15" s="50" customFormat="1" ht="20.100000000000001" customHeight="1" x14ac:dyDescent="0.15">
      <c r="E32" s="52"/>
      <c r="F32" s="44">
        <v>24</v>
      </c>
      <c r="G32" s="47" t="s">
        <v>141</v>
      </c>
      <c r="H32" s="42" cm="1">
        <f t="array" ref="H32">FindData(G32,$H$2,$G$2)</f>
        <v>582</v>
      </c>
      <c r="I32" s="43" t="str">
        <f t="shared" si="1"/>
        <v>满足</v>
      </c>
      <c r="O32" s="55"/>
    </row>
    <row r="33" spans="5:15" s="50" customFormat="1" ht="20.100000000000001" customHeight="1" x14ac:dyDescent="0.15">
      <c r="E33" s="52"/>
      <c r="F33" s="44">
        <v>25</v>
      </c>
      <c r="G33" s="47" t="s">
        <v>142</v>
      </c>
      <c r="H33" s="42" cm="1">
        <f t="array" ref="H33">FindData(G33,$H$2,$G$2)</f>
        <v>595.29999999999995</v>
      </c>
      <c r="I33" s="43" t="str">
        <f t="shared" si="1"/>
        <v>满足</v>
      </c>
      <c r="O33" s="55"/>
    </row>
    <row r="34" spans="5:15" s="50" customFormat="1" ht="20.100000000000001" customHeight="1" x14ac:dyDescent="0.15">
      <c r="E34" s="52"/>
      <c r="F34" s="44">
        <v>26</v>
      </c>
      <c r="G34" s="47" t="s">
        <v>143</v>
      </c>
      <c r="H34" s="42" cm="1">
        <f t="array" ref="H34">FindData(G34,$H$2,$G$2)</f>
        <v>639.6</v>
      </c>
      <c r="I34" s="43" t="str">
        <f t="shared" si="1"/>
        <v>满足</v>
      </c>
      <c r="O34" s="55"/>
    </row>
    <row r="35" spans="5:15" s="50" customFormat="1" ht="20.100000000000001" customHeight="1" x14ac:dyDescent="0.15">
      <c r="E35" s="52"/>
      <c r="F35" s="44">
        <v>27</v>
      </c>
      <c r="G35" s="47" t="s">
        <v>144</v>
      </c>
      <c r="H35" s="42" cm="1">
        <f t="array" ref="H35">FindData(G35,$H$2,$G$2)</f>
        <v>640</v>
      </c>
      <c r="I35" s="43" t="str">
        <f t="shared" si="1"/>
        <v>满足</v>
      </c>
      <c r="O35" s="55"/>
    </row>
    <row r="36" spans="5:15" s="50" customFormat="1" ht="20.100000000000001" customHeight="1" x14ac:dyDescent="0.15">
      <c r="E36" s="52"/>
      <c r="F36" s="44">
        <v>28</v>
      </c>
      <c r="G36" s="47" t="s">
        <v>145</v>
      </c>
      <c r="H36" s="42" cm="1">
        <f t="array" ref="H36">FindData(G36,$H$2,$G$2)</f>
        <v>688.8</v>
      </c>
      <c r="I36" s="43" t="str">
        <f t="shared" si="1"/>
        <v>满足</v>
      </c>
      <c r="O36" s="55"/>
    </row>
    <row r="37" spans="5:15" s="50" customFormat="1" ht="20.100000000000001" customHeight="1" x14ac:dyDescent="0.15">
      <c r="E37" s="52"/>
      <c r="F37" s="44">
        <v>29</v>
      </c>
      <c r="G37" s="47" t="s">
        <v>146</v>
      </c>
      <c r="H37" s="42" cm="1">
        <f t="array" ref="H37">FindData(G37,$H$2,$G$2)</f>
        <v>699</v>
      </c>
      <c r="I37" s="43" t="str">
        <f t="shared" si="1"/>
        <v>满足</v>
      </c>
      <c r="O37" s="55"/>
    </row>
    <row r="38" spans="5:15" s="50" customFormat="1" ht="20.100000000000001" customHeight="1" x14ac:dyDescent="0.15">
      <c r="E38" s="52"/>
      <c r="F38" s="44">
        <v>30</v>
      </c>
      <c r="G38" s="47" t="s">
        <v>147</v>
      </c>
      <c r="H38" s="42" cm="1">
        <f t="array" ref="H38">FindData(G38,$H$2,$G$2)</f>
        <v>720</v>
      </c>
      <c r="I38" s="43" t="str">
        <f t="shared" si="1"/>
        <v>满足</v>
      </c>
      <c r="O38" s="55"/>
    </row>
    <row r="39" spans="5:15" s="50" customFormat="1" ht="20.100000000000001" customHeight="1" x14ac:dyDescent="0.15">
      <c r="E39" s="52"/>
      <c r="F39" s="44">
        <v>31</v>
      </c>
      <c r="G39" s="47" t="s">
        <v>148</v>
      </c>
      <c r="H39" s="42" cm="1">
        <f t="array" ref="H39">FindData(G39,$H$2,$G$2)</f>
        <v>752</v>
      </c>
      <c r="I39" s="43" t="str">
        <f t="shared" si="1"/>
        <v>满足</v>
      </c>
      <c r="O39" s="55"/>
    </row>
    <row r="40" spans="5:15" s="50" customFormat="1" ht="20.100000000000001" customHeight="1" x14ac:dyDescent="0.15">
      <c r="E40" s="52"/>
      <c r="F40" s="44">
        <v>32</v>
      </c>
      <c r="G40" s="47" t="s">
        <v>149</v>
      </c>
      <c r="H40" s="42" cm="1">
        <f t="array" ref="H40">FindData(G40,$H$2,$G$2)</f>
        <v>786</v>
      </c>
      <c r="I40" s="43" t="str">
        <f t="shared" si="1"/>
        <v>满足</v>
      </c>
      <c r="O40" s="55"/>
    </row>
    <row r="41" spans="5:15" s="50" customFormat="1" ht="20.100000000000001" customHeight="1" x14ac:dyDescent="0.15">
      <c r="E41" s="52"/>
      <c r="F41" s="44">
        <v>33</v>
      </c>
      <c r="G41" s="47" t="s">
        <v>150</v>
      </c>
      <c r="H41" s="42" cm="1">
        <f t="array" ref="H41">FindData(G41,$H$2,$G$2)</f>
        <v>768</v>
      </c>
      <c r="I41" s="43" t="str">
        <f t="shared" si="1"/>
        <v>满足</v>
      </c>
      <c r="O41" s="55"/>
    </row>
    <row r="42" spans="5:15" s="50" customFormat="1" ht="20.100000000000001" customHeight="1" x14ac:dyDescent="0.15">
      <c r="E42" s="52"/>
      <c r="F42" s="44">
        <v>34</v>
      </c>
      <c r="G42" s="47" t="s">
        <v>151</v>
      </c>
      <c r="H42" s="42" cm="1">
        <f t="array" ref="H42">FindData(G42,$H$2,$G$2)</f>
        <v>853</v>
      </c>
      <c r="I42" s="43" t="str">
        <f t="shared" si="1"/>
        <v>满足</v>
      </c>
      <c r="O42" s="55"/>
    </row>
    <row r="43" spans="5:15" s="50" customFormat="1" ht="20.100000000000001" customHeight="1" x14ac:dyDescent="0.15">
      <c r="E43" s="52"/>
      <c r="F43" s="44">
        <v>35</v>
      </c>
      <c r="G43" s="47" t="s">
        <v>152</v>
      </c>
      <c r="H43" s="42" cm="1">
        <f t="array" ref="H43">FindData(G43,$H$2,$G$2)</f>
        <v>875.8</v>
      </c>
      <c r="I43" s="43" t="str">
        <f t="shared" si="1"/>
        <v>满足</v>
      </c>
      <c r="O43" s="55"/>
    </row>
    <row r="44" spans="5:15" ht="20.100000000000001" customHeight="1" x14ac:dyDescent="0.15">
      <c r="G44" s="27"/>
    </row>
    <row r="45" spans="5:15" ht="20.100000000000001" customHeight="1" x14ac:dyDescent="0.15">
      <c r="G45" s="27"/>
    </row>
    <row r="46" spans="5:15" ht="20.100000000000001" customHeight="1" x14ac:dyDescent="0.15">
      <c r="G46" s="27"/>
    </row>
    <row r="47" spans="5:15" ht="20.100000000000001" customHeight="1" x14ac:dyDescent="0.15">
      <c r="G47" s="27"/>
    </row>
    <row r="48" spans="5:15" ht="20.100000000000001" customHeight="1" x14ac:dyDescent="0.15">
      <c r="G48" s="27"/>
    </row>
    <row r="49" spans="7:7" ht="20.100000000000001" customHeight="1" x14ac:dyDescent="0.15">
      <c r="G49" s="27"/>
    </row>
    <row r="50" spans="7:7" ht="20.100000000000001" customHeight="1" x14ac:dyDescent="0.15">
      <c r="G50" s="27"/>
    </row>
    <row r="51" spans="7:7" ht="20.100000000000001" customHeight="1" x14ac:dyDescent="0.15">
      <c r="G51" s="27"/>
    </row>
    <row r="52" spans="7:7" ht="20.100000000000001" customHeight="1" x14ac:dyDescent="0.15">
      <c r="G52" s="27"/>
    </row>
    <row r="53" spans="7:7" ht="20.100000000000001" customHeight="1" x14ac:dyDescent="0.15">
      <c r="G53" s="27"/>
    </row>
    <row r="54" spans="7:7" ht="20.100000000000001" customHeight="1" x14ac:dyDescent="0.15">
      <c r="G54" s="27"/>
    </row>
    <row r="55" spans="7:7" ht="20.100000000000001" customHeight="1" x14ac:dyDescent="0.15">
      <c r="G55" s="27"/>
    </row>
    <row r="56" spans="7:7" ht="20.100000000000001" customHeight="1" x14ac:dyDescent="0.15">
      <c r="G56" s="27"/>
    </row>
    <row r="57" spans="7:7" ht="20.100000000000001" customHeight="1" x14ac:dyDescent="0.15">
      <c r="G57" s="27"/>
    </row>
    <row r="58" spans="7:7" ht="20.100000000000001" customHeight="1" x14ac:dyDescent="0.15">
      <c r="G58" s="27"/>
    </row>
    <row r="59" spans="7:7" ht="20.100000000000001" customHeight="1" x14ac:dyDescent="0.15">
      <c r="G59" s="27"/>
    </row>
    <row r="60" spans="7:7" ht="20.100000000000001" customHeight="1" x14ac:dyDescent="0.15">
      <c r="G60" s="27"/>
    </row>
    <row r="61" spans="7:7" ht="20.100000000000001" customHeight="1" x14ac:dyDescent="0.15">
      <c r="G61" s="27"/>
    </row>
    <row r="62" spans="7:7" ht="20.100000000000001" customHeight="1" x14ac:dyDescent="0.15">
      <c r="G62" s="27"/>
    </row>
    <row r="63" spans="7:7" ht="20.100000000000001" customHeight="1" x14ac:dyDescent="0.15">
      <c r="G63" s="27"/>
    </row>
    <row r="64" spans="7:7" ht="20.100000000000001" customHeight="1" x14ac:dyDescent="0.15">
      <c r="G64" s="27"/>
    </row>
    <row r="65" spans="7:7" ht="20.100000000000001" customHeight="1" x14ac:dyDescent="0.15">
      <c r="G65" s="27"/>
    </row>
    <row r="66" spans="7:7" ht="20.100000000000001" customHeight="1" x14ac:dyDescent="0.15">
      <c r="G66" s="27"/>
    </row>
    <row r="67" spans="7:7" ht="20.100000000000001" customHeight="1" x14ac:dyDescent="0.15">
      <c r="G67" s="27"/>
    </row>
    <row r="68" spans="7:7" ht="20.100000000000001" customHeight="1" x14ac:dyDescent="0.15">
      <c r="G68" s="27"/>
    </row>
    <row r="69" spans="7:7" ht="20.100000000000001" customHeight="1" x14ac:dyDescent="0.15">
      <c r="G69" s="27"/>
    </row>
    <row r="70" spans="7:7" ht="20.100000000000001" customHeight="1" x14ac:dyDescent="0.15">
      <c r="G70" s="27"/>
    </row>
    <row r="71" spans="7:7" ht="20.100000000000001" customHeight="1" x14ac:dyDescent="0.15">
      <c r="G71" s="27"/>
    </row>
    <row r="72" spans="7:7" ht="20.100000000000001" customHeight="1" x14ac:dyDescent="0.15">
      <c r="G72" s="27"/>
    </row>
    <row r="73" spans="7:7" ht="20.100000000000001" customHeight="1" x14ac:dyDescent="0.15">
      <c r="G73" s="27"/>
    </row>
    <row r="74" spans="7:7" ht="20.100000000000001" customHeight="1" x14ac:dyDescent="0.15">
      <c r="G74" s="27"/>
    </row>
    <row r="75" spans="7:7" ht="20.100000000000001" customHeight="1" x14ac:dyDescent="0.15">
      <c r="G75" s="27"/>
    </row>
    <row r="76" spans="7:7" ht="20.100000000000001" customHeight="1" x14ac:dyDescent="0.15">
      <c r="G76" s="27"/>
    </row>
    <row r="77" spans="7:7" ht="20.100000000000001" customHeight="1" x14ac:dyDescent="0.15">
      <c r="G77" s="21"/>
    </row>
    <row r="78" spans="7:7" ht="20.100000000000001" customHeight="1" x14ac:dyDescent="0.15">
      <c r="G78" s="21"/>
    </row>
    <row r="79" spans="7:7" ht="20.100000000000001" customHeight="1" x14ac:dyDescent="0.15">
      <c r="G79" s="21"/>
    </row>
    <row r="80" spans="7:7" ht="20.100000000000001" customHeight="1" x14ac:dyDescent="0.15">
      <c r="G80" s="21"/>
    </row>
    <row r="81" spans="7:7" ht="20.100000000000001" customHeight="1" x14ac:dyDescent="0.15">
      <c r="G81" s="21"/>
    </row>
    <row r="82" spans="7:7" ht="20.100000000000001" customHeight="1" x14ac:dyDescent="0.15">
      <c r="G82" s="21"/>
    </row>
    <row r="83" spans="7:7" ht="20.100000000000001" customHeight="1" x14ac:dyDescent="0.15">
      <c r="G83" s="21"/>
    </row>
    <row r="84" spans="7:7" ht="20.100000000000001" customHeight="1" x14ac:dyDescent="0.15">
      <c r="G84" s="21"/>
    </row>
    <row r="85" spans="7:7" ht="20.100000000000001" customHeight="1" x14ac:dyDescent="0.15">
      <c r="G85" s="21"/>
    </row>
    <row r="86" spans="7:7" ht="20.100000000000001" customHeight="1" x14ac:dyDescent="0.15">
      <c r="G86" s="21"/>
    </row>
    <row r="87" spans="7:7" ht="20.100000000000001" customHeight="1" x14ac:dyDescent="0.15">
      <c r="G87" s="21"/>
    </row>
    <row r="88" spans="7:7" ht="20.100000000000001" customHeight="1" x14ac:dyDescent="0.15">
      <c r="G88" s="21"/>
    </row>
    <row r="89" spans="7:7" ht="20.100000000000001" customHeight="1" x14ac:dyDescent="0.15">
      <c r="G89" s="21"/>
    </row>
    <row r="90" spans="7:7" ht="20.100000000000001" customHeight="1" x14ac:dyDescent="0.15">
      <c r="G90" s="21"/>
    </row>
    <row r="91" spans="7:7" ht="20.100000000000001" customHeight="1" x14ac:dyDescent="0.15">
      <c r="G91" s="21"/>
    </row>
    <row r="92" spans="7:7" ht="20.100000000000001" customHeight="1" x14ac:dyDescent="0.15">
      <c r="G92" s="21"/>
    </row>
    <row r="93" spans="7:7" ht="20.100000000000001" customHeight="1" x14ac:dyDescent="0.15">
      <c r="G93" s="21"/>
    </row>
    <row r="94" spans="7:7" ht="20.100000000000001" customHeight="1" x14ac:dyDescent="0.15">
      <c r="G94" s="21"/>
    </row>
    <row r="95" spans="7:7" x14ac:dyDescent="0.15">
      <c r="G95" s="21"/>
    </row>
    <row r="96" spans="7:7" x14ac:dyDescent="0.15">
      <c r="G96" s="21"/>
    </row>
    <row r="97" spans="7:7" x14ac:dyDescent="0.15">
      <c r="G97" s="21"/>
    </row>
    <row r="98" spans="7:7" x14ac:dyDescent="0.15">
      <c r="G98" s="21"/>
    </row>
    <row r="99" spans="7:7" x14ac:dyDescent="0.15">
      <c r="G99" s="21"/>
    </row>
    <row r="100" spans="7:7" x14ac:dyDescent="0.15">
      <c r="G100" s="21"/>
    </row>
    <row r="101" spans="7:7" x14ac:dyDescent="0.15">
      <c r="G101" s="21"/>
    </row>
    <row r="102" spans="7:7" x14ac:dyDescent="0.15">
      <c r="G102" s="21"/>
    </row>
    <row r="103" spans="7:7" x14ac:dyDescent="0.15">
      <c r="G103" s="21"/>
    </row>
    <row r="104" spans="7:7" x14ac:dyDescent="0.15">
      <c r="G104" s="21"/>
    </row>
    <row r="105" spans="7:7" x14ac:dyDescent="0.15">
      <c r="G105" s="21"/>
    </row>
    <row r="106" spans="7:7" x14ac:dyDescent="0.15">
      <c r="G106" s="21"/>
    </row>
    <row r="107" spans="7:7" x14ac:dyDescent="0.15">
      <c r="G107" s="21"/>
    </row>
    <row r="108" spans="7:7" x14ac:dyDescent="0.15">
      <c r="G108" s="21"/>
    </row>
    <row r="109" spans="7:7" x14ac:dyDescent="0.15">
      <c r="G109" s="21"/>
    </row>
    <row r="110" spans="7:7" x14ac:dyDescent="0.15">
      <c r="G110" s="21"/>
    </row>
    <row r="111" spans="7:7" x14ac:dyDescent="0.15">
      <c r="G111" s="21"/>
    </row>
    <row r="112" spans="7:7" x14ac:dyDescent="0.15">
      <c r="G112" s="21"/>
    </row>
    <row r="113" spans="7:7" x14ac:dyDescent="0.15">
      <c r="G113" s="21"/>
    </row>
    <row r="114" spans="7:7" x14ac:dyDescent="0.15">
      <c r="G114" s="21"/>
    </row>
    <row r="115" spans="7:7" x14ac:dyDescent="0.15">
      <c r="G115" s="21"/>
    </row>
    <row r="116" spans="7:7" x14ac:dyDescent="0.15">
      <c r="G116" s="21"/>
    </row>
    <row r="117" spans="7:7" x14ac:dyDescent="0.15">
      <c r="G117" s="21"/>
    </row>
    <row r="118" spans="7:7" x14ac:dyDescent="0.15">
      <c r="G118" s="21"/>
    </row>
    <row r="119" spans="7:7" x14ac:dyDescent="0.15">
      <c r="G119" s="21"/>
    </row>
    <row r="120" spans="7:7" x14ac:dyDescent="0.15">
      <c r="G120" s="21"/>
    </row>
    <row r="121" spans="7:7" x14ac:dyDescent="0.15">
      <c r="G121" s="21"/>
    </row>
    <row r="122" spans="7:7" x14ac:dyDescent="0.15">
      <c r="G122" s="21"/>
    </row>
    <row r="123" spans="7:7" x14ac:dyDescent="0.15">
      <c r="G123" s="21"/>
    </row>
    <row r="124" spans="7:7" x14ac:dyDescent="0.15">
      <c r="G124" s="21"/>
    </row>
    <row r="125" spans="7:7" x14ac:dyDescent="0.15">
      <c r="G125" s="21"/>
    </row>
    <row r="126" spans="7:7" x14ac:dyDescent="0.15">
      <c r="G126" s="21"/>
    </row>
    <row r="127" spans="7:7" x14ac:dyDescent="0.15">
      <c r="G127" s="21"/>
    </row>
    <row r="128" spans="7:7" x14ac:dyDescent="0.15">
      <c r="G128" s="21"/>
    </row>
    <row r="129" spans="7:7" x14ac:dyDescent="0.15">
      <c r="G129" s="21"/>
    </row>
    <row r="130" spans="7:7" x14ac:dyDescent="0.15">
      <c r="G130" s="21"/>
    </row>
    <row r="131" spans="7:7" x14ac:dyDescent="0.15">
      <c r="G131" s="21"/>
    </row>
    <row r="132" spans="7:7" x14ac:dyDescent="0.15">
      <c r="G132" s="21"/>
    </row>
    <row r="133" spans="7:7" x14ac:dyDescent="0.15">
      <c r="G133" s="21"/>
    </row>
    <row r="134" spans="7:7" x14ac:dyDescent="0.15">
      <c r="G134" s="21"/>
    </row>
    <row r="135" spans="7:7" x14ac:dyDescent="0.15">
      <c r="G135" s="21"/>
    </row>
    <row r="136" spans="7:7" x14ac:dyDescent="0.15">
      <c r="G136" s="21"/>
    </row>
    <row r="137" spans="7:7" x14ac:dyDescent="0.15">
      <c r="G137" s="21"/>
    </row>
    <row r="138" spans="7:7" x14ac:dyDescent="0.15">
      <c r="G138" s="21"/>
    </row>
    <row r="139" spans="7:7" x14ac:dyDescent="0.15">
      <c r="G139" s="21"/>
    </row>
    <row r="140" spans="7:7" x14ac:dyDescent="0.15">
      <c r="G140" s="21"/>
    </row>
    <row r="141" spans="7:7" x14ac:dyDescent="0.15">
      <c r="G141" s="21"/>
    </row>
    <row r="142" spans="7:7" x14ac:dyDescent="0.15">
      <c r="G142" s="21"/>
    </row>
    <row r="143" spans="7:7" x14ac:dyDescent="0.15">
      <c r="G143" s="21"/>
    </row>
    <row r="144" spans="7:7" x14ac:dyDescent="0.15">
      <c r="G144" s="21"/>
    </row>
    <row r="145" spans="7:7" x14ac:dyDescent="0.15">
      <c r="G145" s="21"/>
    </row>
    <row r="146" spans="7:7" x14ac:dyDescent="0.15">
      <c r="G146" s="21"/>
    </row>
    <row r="147" spans="7:7" x14ac:dyDescent="0.15">
      <c r="G147" s="21"/>
    </row>
    <row r="148" spans="7:7" x14ac:dyDescent="0.15">
      <c r="G148" s="21"/>
    </row>
    <row r="149" spans="7:7" x14ac:dyDescent="0.15">
      <c r="G149" s="21"/>
    </row>
    <row r="150" spans="7:7" x14ac:dyDescent="0.15">
      <c r="G150" s="21"/>
    </row>
    <row r="151" spans="7:7" x14ac:dyDescent="0.15">
      <c r="G151" s="21"/>
    </row>
    <row r="152" spans="7:7" x14ac:dyDescent="0.15">
      <c r="G152" s="21"/>
    </row>
    <row r="153" spans="7:7" x14ac:dyDescent="0.15">
      <c r="G153" s="21"/>
    </row>
    <row r="154" spans="7:7" x14ac:dyDescent="0.15">
      <c r="G154" s="21"/>
    </row>
    <row r="155" spans="7:7" x14ac:dyDescent="0.15">
      <c r="G155" s="21"/>
    </row>
    <row r="156" spans="7:7" x14ac:dyDescent="0.15">
      <c r="G156" s="21"/>
    </row>
    <row r="157" spans="7:7" x14ac:dyDescent="0.15">
      <c r="G157" s="21"/>
    </row>
    <row r="158" spans="7:7" x14ac:dyDescent="0.15">
      <c r="G158" s="21"/>
    </row>
    <row r="159" spans="7:7" x14ac:dyDescent="0.15">
      <c r="G159" s="21"/>
    </row>
    <row r="160" spans="7:7" x14ac:dyDescent="0.15">
      <c r="G160" s="21"/>
    </row>
    <row r="161" spans="7:7" x14ac:dyDescent="0.15">
      <c r="G161" s="21"/>
    </row>
    <row r="162" spans="7:7" x14ac:dyDescent="0.15">
      <c r="G162" s="21"/>
    </row>
    <row r="163" spans="7:7" x14ac:dyDescent="0.15">
      <c r="G163" s="21"/>
    </row>
    <row r="164" spans="7:7" x14ac:dyDescent="0.15">
      <c r="G164" s="21"/>
    </row>
    <row r="165" spans="7:7" x14ac:dyDescent="0.15">
      <c r="G165" s="21"/>
    </row>
    <row r="166" spans="7:7" x14ac:dyDescent="0.15">
      <c r="G166" s="21"/>
    </row>
    <row r="167" spans="7:7" x14ac:dyDescent="0.15">
      <c r="G167" s="21"/>
    </row>
    <row r="168" spans="7:7" x14ac:dyDescent="0.15">
      <c r="G168" s="21"/>
    </row>
    <row r="169" spans="7:7" x14ac:dyDescent="0.15">
      <c r="G169" s="21"/>
    </row>
    <row r="170" spans="7:7" x14ac:dyDescent="0.15">
      <c r="G170" s="21"/>
    </row>
    <row r="171" spans="7:7" x14ac:dyDescent="0.15">
      <c r="G171" s="21"/>
    </row>
    <row r="172" spans="7:7" x14ac:dyDescent="0.15">
      <c r="G172" s="21"/>
    </row>
    <row r="173" spans="7:7" x14ac:dyDescent="0.15">
      <c r="G173" s="21"/>
    </row>
    <row r="174" spans="7:7" x14ac:dyDescent="0.15">
      <c r="G174" s="21"/>
    </row>
    <row r="175" spans="7:7" x14ac:dyDescent="0.15">
      <c r="G175" s="21"/>
    </row>
    <row r="176" spans="7:7" x14ac:dyDescent="0.15">
      <c r="G176" s="21"/>
    </row>
    <row r="177" spans="7:7" x14ac:dyDescent="0.15">
      <c r="G177" s="21"/>
    </row>
    <row r="178" spans="7:7" x14ac:dyDescent="0.15">
      <c r="G178" s="21"/>
    </row>
    <row r="179" spans="7:7" x14ac:dyDescent="0.15">
      <c r="G179" s="21"/>
    </row>
    <row r="180" spans="7:7" x14ac:dyDescent="0.15">
      <c r="G180" s="21"/>
    </row>
    <row r="181" spans="7:7" x14ac:dyDescent="0.15">
      <c r="G181" s="21"/>
    </row>
    <row r="182" spans="7:7" x14ac:dyDescent="0.15">
      <c r="G182" s="21"/>
    </row>
    <row r="183" spans="7:7" x14ac:dyDescent="0.15">
      <c r="G183" s="21"/>
    </row>
    <row r="184" spans="7:7" x14ac:dyDescent="0.15">
      <c r="G184" s="21"/>
    </row>
    <row r="185" spans="7:7" x14ac:dyDescent="0.15">
      <c r="G185" s="21"/>
    </row>
    <row r="186" spans="7:7" x14ac:dyDescent="0.15">
      <c r="G186" s="21"/>
    </row>
    <row r="187" spans="7:7" x14ac:dyDescent="0.15">
      <c r="G187" s="21"/>
    </row>
    <row r="188" spans="7:7" x14ac:dyDescent="0.15">
      <c r="G188" s="21"/>
    </row>
    <row r="189" spans="7:7" x14ac:dyDescent="0.15">
      <c r="G189" s="21"/>
    </row>
    <row r="190" spans="7:7" x14ac:dyDescent="0.15">
      <c r="G190" s="21"/>
    </row>
    <row r="191" spans="7:7" x14ac:dyDescent="0.15">
      <c r="G191" s="21"/>
    </row>
    <row r="192" spans="7:7" x14ac:dyDescent="0.15">
      <c r="G192" s="21"/>
    </row>
    <row r="193" spans="7:7" x14ac:dyDescent="0.15">
      <c r="G193" s="21"/>
    </row>
    <row r="194" spans="7:7" x14ac:dyDescent="0.15">
      <c r="G194" s="21"/>
    </row>
    <row r="195" spans="7:7" x14ac:dyDescent="0.15">
      <c r="G195" s="21"/>
    </row>
    <row r="196" spans="7:7" x14ac:dyDescent="0.15">
      <c r="G196" s="21"/>
    </row>
    <row r="197" spans="7:7" x14ac:dyDescent="0.15">
      <c r="G197" s="21"/>
    </row>
    <row r="198" spans="7:7" x14ac:dyDescent="0.15">
      <c r="G198" s="21"/>
    </row>
    <row r="199" spans="7:7" x14ac:dyDescent="0.15">
      <c r="G199" s="21"/>
    </row>
    <row r="200" spans="7:7" x14ac:dyDescent="0.15">
      <c r="G200" s="21"/>
    </row>
    <row r="201" spans="7:7" x14ac:dyDescent="0.15">
      <c r="G201" s="21"/>
    </row>
    <row r="202" spans="7:7" x14ac:dyDescent="0.15">
      <c r="G202" s="21"/>
    </row>
    <row r="203" spans="7:7" x14ac:dyDescent="0.15">
      <c r="G203" s="21"/>
    </row>
    <row r="204" spans="7:7" x14ac:dyDescent="0.15">
      <c r="G204" s="21"/>
    </row>
    <row r="205" spans="7:7" x14ac:dyDescent="0.15">
      <c r="G205" s="21"/>
    </row>
    <row r="206" spans="7:7" x14ac:dyDescent="0.15">
      <c r="G206" s="21"/>
    </row>
    <row r="207" spans="7:7" x14ac:dyDescent="0.15">
      <c r="G207" s="21"/>
    </row>
    <row r="208" spans="7:7" x14ac:dyDescent="0.15">
      <c r="G208" s="21"/>
    </row>
    <row r="209" spans="7:7" x14ac:dyDescent="0.15">
      <c r="G209" s="21"/>
    </row>
    <row r="210" spans="7:7" x14ac:dyDescent="0.15">
      <c r="G210" s="21"/>
    </row>
    <row r="211" spans="7:7" x14ac:dyDescent="0.15">
      <c r="G211" s="21"/>
    </row>
    <row r="212" spans="7:7" x14ac:dyDescent="0.15">
      <c r="G212" s="21"/>
    </row>
    <row r="213" spans="7:7" x14ac:dyDescent="0.15">
      <c r="G213" s="21"/>
    </row>
    <row r="214" spans="7:7" x14ac:dyDescent="0.15">
      <c r="G214" s="21"/>
    </row>
    <row r="215" spans="7:7" x14ac:dyDescent="0.15">
      <c r="G215" s="21"/>
    </row>
    <row r="216" spans="7:7" x14ac:dyDescent="0.15">
      <c r="G216" s="21"/>
    </row>
    <row r="217" spans="7:7" x14ac:dyDescent="0.15">
      <c r="G217" s="21"/>
    </row>
    <row r="218" spans="7:7" x14ac:dyDescent="0.15">
      <c r="G218" s="21"/>
    </row>
    <row r="219" spans="7:7" x14ac:dyDescent="0.15">
      <c r="G219" s="21"/>
    </row>
    <row r="220" spans="7:7" x14ac:dyDescent="0.15">
      <c r="G220" s="21"/>
    </row>
    <row r="221" spans="7:7" x14ac:dyDescent="0.15">
      <c r="G221" s="21"/>
    </row>
    <row r="222" spans="7:7" x14ac:dyDescent="0.15">
      <c r="G222" s="21"/>
    </row>
    <row r="223" spans="7:7" x14ac:dyDescent="0.15">
      <c r="G223" s="21"/>
    </row>
    <row r="224" spans="7:7" x14ac:dyDescent="0.15">
      <c r="G224" s="21"/>
    </row>
    <row r="225" spans="7:7" x14ac:dyDescent="0.15">
      <c r="G225" s="21"/>
    </row>
    <row r="226" spans="7:7" x14ac:dyDescent="0.15">
      <c r="G226" s="21"/>
    </row>
    <row r="227" spans="7:7" x14ac:dyDescent="0.15">
      <c r="G227" s="21"/>
    </row>
    <row r="228" spans="7:7" x14ac:dyDescent="0.15">
      <c r="G228" s="21"/>
    </row>
    <row r="229" spans="7:7" x14ac:dyDescent="0.15">
      <c r="G229" s="21"/>
    </row>
    <row r="230" spans="7:7" x14ac:dyDescent="0.15">
      <c r="G230" s="21"/>
    </row>
    <row r="231" spans="7:7" x14ac:dyDescent="0.15">
      <c r="G231" s="21"/>
    </row>
    <row r="232" spans="7:7" x14ac:dyDescent="0.15">
      <c r="G232" s="21"/>
    </row>
    <row r="233" spans="7:7" x14ac:dyDescent="0.15">
      <c r="G233" s="21"/>
    </row>
    <row r="234" spans="7:7" x14ac:dyDescent="0.15">
      <c r="G234" s="21"/>
    </row>
    <row r="235" spans="7:7" x14ac:dyDescent="0.15">
      <c r="G235" s="21"/>
    </row>
  </sheetData>
  <dataConsolidate/>
  <mergeCells count="1">
    <mergeCell ref="M5:V5"/>
  </mergeCells>
  <phoneticPr fontId="2" type="noConversion"/>
  <dataValidations disablePrompts="1" count="8">
    <dataValidation type="list" allowBlank="1" showInputMessage="1" showErrorMessage="1" sqref="D2" xr:uid="{00000000-0002-0000-0000-000000000000}">
      <formula1>"1,,2,3,4"</formula1>
    </dataValidation>
    <dataValidation type="decimal" allowBlank="1" showInputMessage="1" showErrorMessage="1" sqref="E2" xr:uid="{00000000-0002-0000-0000-000001000000}">
      <formula1>0.8</formula1>
      <formula2>1</formula2>
    </dataValidation>
    <dataValidation type="decimal" allowBlank="1" showInputMessage="1" showErrorMessage="1" sqref="F2" xr:uid="{00000000-0002-0000-0000-000002000000}">
      <formula1>0.9</formula1>
      <formula2>1</formula2>
    </dataValidation>
    <dataValidation type="list" allowBlank="1" showInputMessage="1" showErrorMessage="1" sqref="F6" xr:uid="{00000000-0002-0000-0000-000003000000}">
      <formula1>"ABB,国产"</formula1>
    </dataValidation>
    <dataValidation type="whole" allowBlank="1" showInputMessage="1" showErrorMessage="1" sqref="C2" xr:uid="{00000000-0002-0000-0000-000004000000}">
      <formula1>20</formula1>
      <formula2>53</formula2>
    </dataValidation>
    <dataValidation type="list" allowBlank="1" showInputMessage="1" showErrorMessage="1" sqref="K6 K2" xr:uid="{00000000-0002-0000-0000-000005000000}">
      <formula1>"是,否"</formula1>
    </dataValidation>
    <dataValidation type="list" allowBlank="1" showInputMessage="1" showErrorMessage="1" sqref="G2" xr:uid="{00000000-0002-0000-0000-000006000000}">
      <formula1>$J$9:$J$24</formula1>
    </dataValidation>
    <dataValidation type="list" allowBlank="1" showInputMessage="1" showErrorMessage="1" sqref="H2" xr:uid="{00000000-0002-0000-0000-000007000000}">
      <formula1>$K$9:$K$15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8000000}">
          <x14:formula1>
            <xm:f>UPS!$A$2:$A$33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2B00-D201-477B-B865-CDB504E0A41E}">
  <sheetPr codeName="Sheet8"/>
  <dimension ref="A1:V235"/>
  <sheetViews>
    <sheetView zoomScaleNormal="100" workbookViewId="0">
      <selection activeCell="E11" sqref="E11"/>
    </sheetView>
  </sheetViews>
  <sheetFormatPr defaultRowHeight="14.25" x14ac:dyDescent="0.15"/>
  <cols>
    <col min="2" max="2" width="8.875" customWidth="1"/>
    <col min="3" max="3" width="18.375" bestFit="1" customWidth="1"/>
    <col min="4" max="4" width="12.25" bestFit="1" customWidth="1"/>
    <col min="5" max="5" width="15.25" customWidth="1"/>
    <col min="6" max="6" width="9.125" customWidth="1"/>
    <col min="7" max="7" width="19" customWidth="1"/>
    <col min="8" max="8" width="13.25" customWidth="1"/>
    <col min="9" max="9" width="17" customWidth="1"/>
    <col min="10" max="10" width="34" customWidth="1"/>
    <col min="11" max="11" width="16.25" customWidth="1"/>
    <col min="13" max="13" width="11.125" style="50" customWidth="1"/>
    <col min="14" max="14" width="14.5" style="50" customWidth="1"/>
    <col min="15" max="15" width="9" style="55"/>
    <col min="16" max="22" width="9" style="50"/>
  </cols>
  <sheetData>
    <row r="1" spans="1:22" ht="54" customHeight="1" x14ac:dyDescent="0.15">
      <c r="A1" s="23" t="s">
        <v>249</v>
      </c>
      <c r="B1" s="22" t="s">
        <v>30</v>
      </c>
      <c r="C1" s="22" t="s">
        <v>251</v>
      </c>
      <c r="D1" s="22" t="s">
        <v>5</v>
      </c>
      <c r="E1" s="22" t="s">
        <v>2</v>
      </c>
      <c r="F1" s="22" t="s">
        <v>1</v>
      </c>
      <c r="G1" s="22" t="s">
        <v>6</v>
      </c>
      <c r="H1" s="22" t="s">
        <v>7</v>
      </c>
      <c r="I1" s="22" t="s">
        <v>8</v>
      </c>
      <c r="J1" s="23" t="s">
        <v>36</v>
      </c>
      <c r="K1" s="50"/>
      <c r="M1" s="53" t="s">
        <v>236</v>
      </c>
      <c r="N1" s="54" t="s">
        <v>248</v>
      </c>
    </row>
    <row r="2" spans="1:22" x14ac:dyDescent="0.15">
      <c r="A2" s="39"/>
      <c r="B2" s="14">
        <v>600</v>
      </c>
      <c r="C2" s="13">
        <v>240</v>
      </c>
      <c r="D2" s="13">
        <v>1</v>
      </c>
      <c r="E2" s="13">
        <v>1</v>
      </c>
      <c r="F2" s="13">
        <f>IF(B2&gt;100,0.95,0.93)</f>
        <v>0.95</v>
      </c>
      <c r="G2" s="16" t="s">
        <v>275</v>
      </c>
      <c r="H2" s="13">
        <v>1.75</v>
      </c>
      <c r="I2" s="63">
        <f>IF(A2="",B2*E2*1000/(F2*C2*D2),A2*1000/(F2*C2*D2))</f>
        <v>2631.5789473684213</v>
      </c>
      <c r="J2" s="62" t="str">
        <f>INDEX(C9:C27,MATCH("满足",E9:E27,0))</f>
        <v>GFMD-3000B</v>
      </c>
      <c r="K2" s="50"/>
      <c r="M2" s="56" t="str">
        <f>G2</f>
        <v>60min</v>
      </c>
      <c r="N2" s="57">
        <f>B2*1000*E2/(C2*2*0.8*F2*HLOOKUP(M2,M6:V7,2,FALSE))/D2</f>
        <v>2741.2280701754389</v>
      </c>
    </row>
    <row r="3" spans="1:22" x14ac:dyDescent="0.15">
      <c r="K3" s="50"/>
      <c r="O3" s="50"/>
    </row>
    <row r="4" spans="1:22" x14ac:dyDescent="0.15">
      <c r="O4" s="50"/>
    </row>
    <row r="5" spans="1:22" ht="36" x14ac:dyDescent="0.15">
      <c r="B5" s="22" t="s">
        <v>26</v>
      </c>
      <c r="C5" s="22" t="s">
        <v>27</v>
      </c>
      <c r="D5" s="24" t="s">
        <v>24</v>
      </c>
      <c r="E5" s="24" t="s">
        <v>25</v>
      </c>
      <c r="F5" s="22" t="s">
        <v>28</v>
      </c>
      <c r="G5" s="24" t="s">
        <v>32</v>
      </c>
      <c r="H5" s="24" t="s">
        <v>33</v>
      </c>
      <c r="I5" s="24" t="s">
        <v>34</v>
      </c>
      <c r="J5" s="24" t="s">
        <v>35</v>
      </c>
      <c r="K5" s="22" t="s">
        <v>37</v>
      </c>
      <c r="M5" s="94" t="s">
        <v>238</v>
      </c>
      <c r="N5" s="95"/>
      <c r="O5" s="95"/>
      <c r="P5" s="95"/>
      <c r="Q5" s="95"/>
      <c r="R5" s="95"/>
      <c r="S5" s="95"/>
      <c r="T5" s="95"/>
      <c r="U5" s="95"/>
      <c r="V5" s="96"/>
    </row>
    <row r="6" spans="1:22" ht="82.5" customHeight="1" x14ac:dyDescent="0.15">
      <c r="B6" s="41">
        <f>IF(A2="",B2*E2*1000/(C2*H2*F2),A2*1000/(C2*H2*F2))</f>
        <v>1503.7593984962407</v>
      </c>
      <c r="C6" s="41" t="str">
        <f>IF(D2=1,"NA",B6/(D2-1))</f>
        <v>NA</v>
      </c>
      <c r="D6" s="59">
        <f>IF(K6="是",LARGE(断路器!$A$1:$A$25,COUNTIF(断路器!$A$1:$A$25,"&gt;"&amp;B$6)),"无主开关")</f>
        <v>1600</v>
      </c>
      <c r="E6" s="59" t="str">
        <f>IF(D2=1,"无",LARGE(断路器!$A$1:$A$25,COUNTIF(断路器!$A$1:$A$25,"&gt;"&amp;C$6)))</f>
        <v>无</v>
      </c>
      <c r="F6" s="60" t="s">
        <v>274</v>
      </c>
      <c r="G6" s="41" t="str">
        <f>IF(C2&lt;=35,"3P","4P")</f>
        <v>4P</v>
      </c>
      <c r="H6" s="41" t="str">
        <f>IF(G6="3P","DC500V","DC750V")</f>
        <v>DC750V</v>
      </c>
      <c r="I6" s="41" t="str">
        <f>IF(D2=1,CONCATENATE("输入",D6,"/",G6,"-",H6,"-",F6,"-","主开关与UPS联动","-","带中性线"),IF(K6="是",CONCATENATE("输入",D6,"/",G6,"-",H6,"-","输出",D2,"*",E6,"/",G6,"-",F6,"-","主开关与UPS联动","-","带中性线"),CONCATENATE(D6,"-",H6,"-","输出",D2,"*",E6,"/",G6,"-",F6,"-","主开关与UPS联动","-","带中性线")))</f>
        <v>输入1600/4P-DC750V-国产-主开关与UPS联动-带中性线</v>
      </c>
      <c r="J6" s="61" t="str">
        <f>CONCATENATE(IF(D2=1,D6,E6),"A","-",C2,"节/组","-","电池型号","[",J2,"]","-","含电池连接铜排与导线")</f>
        <v>1600A-240节/组-电池型号[GFMD-3000B]-含电池连接铜排与导线</v>
      </c>
      <c r="K6" s="15" t="s">
        <v>83</v>
      </c>
      <c r="M6" s="53" t="s">
        <v>239</v>
      </c>
      <c r="N6" s="53" t="s">
        <v>237</v>
      </c>
      <c r="O6" s="53" t="s">
        <v>240</v>
      </c>
      <c r="P6" s="53" t="s">
        <v>241</v>
      </c>
      <c r="Q6" s="53" t="s">
        <v>242</v>
      </c>
      <c r="R6" s="53" t="s">
        <v>243</v>
      </c>
      <c r="S6" s="53" t="s">
        <v>244</v>
      </c>
      <c r="T6" s="53" t="s">
        <v>245</v>
      </c>
      <c r="U6" s="53" t="s">
        <v>246</v>
      </c>
      <c r="V6" s="53" t="s">
        <v>247</v>
      </c>
    </row>
    <row r="7" spans="1:22" ht="15" thickBot="1" x14ac:dyDescent="0.2">
      <c r="M7" s="53" t="s">
        <v>239</v>
      </c>
      <c r="N7" s="58">
        <v>1.8</v>
      </c>
      <c r="O7" s="58">
        <v>1.2</v>
      </c>
      <c r="P7" s="58">
        <v>0.6</v>
      </c>
      <c r="Q7" s="58">
        <v>0.45</v>
      </c>
      <c r="R7" s="58">
        <v>0.36</v>
      </c>
      <c r="S7" s="58">
        <v>0.3</v>
      </c>
      <c r="T7" s="58">
        <v>0.24</v>
      </c>
      <c r="U7" s="58">
        <v>0.18</v>
      </c>
      <c r="V7" s="58">
        <v>0.12</v>
      </c>
    </row>
    <row r="8" spans="1:22" x14ac:dyDescent="0.15">
      <c r="B8" s="74" t="s">
        <v>9</v>
      </c>
      <c r="C8" s="75" t="s">
        <v>100</v>
      </c>
      <c r="D8" s="75" t="s">
        <v>82</v>
      </c>
      <c r="E8" s="76" t="s">
        <v>84</v>
      </c>
      <c r="F8" s="70"/>
      <c r="G8" s="70"/>
      <c r="H8" s="70"/>
      <c r="I8" s="70"/>
      <c r="J8" s="83" t="s">
        <v>6</v>
      </c>
      <c r="K8" s="84" t="s">
        <v>21</v>
      </c>
    </row>
    <row r="9" spans="1:22" ht="20.100000000000001" customHeight="1" x14ac:dyDescent="0.15">
      <c r="B9" s="77">
        <v>1</v>
      </c>
      <c r="C9" s="40" t="s">
        <v>252</v>
      </c>
      <c r="D9" s="69" cm="1">
        <f t="array" ref="D9">FindData(C9,$H$2,$G$2)</f>
        <v>94.5</v>
      </c>
      <c r="E9" s="78" t="str">
        <f>IF(OR(D9="未找到数据。",D9="未找到表头。"),"×",IF(D9&gt;=$I$2,"满足","不满足"))</f>
        <v>不满足</v>
      </c>
      <c r="F9" s="71"/>
      <c r="G9" s="71"/>
      <c r="H9" s="72"/>
      <c r="I9" s="71"/>
      <c r="J9" s="85" t="s">
        <v>20</v>
      </c>
      <c r="K9" s="86">
        <v>1.6</v>
      </c>
    </row>
    <row r="10" spans="1:22" ht="20.100000000000001" customHeight="1" x14ac:dyDescent="0.15">
      <c r="B10" s="77">
        <v>2</v>
      </c>
      <c r="C10" s="40" t="s">
        <v>263</v>
      </c>
      <c r="D10" s="69" cm="1">
        <f t="array" ref="D10">FindData(C10,$H$2,$G$2)</f>
        <v>214.3</v>
      </c>
      <c r="E10" s="78" t="str">
        <f t="shared" ref="E10:E19" si="0">IF(OR(D10="未找到数据。",D10="未找到表头。"),"×",IF(D10&gt;=$I$2,"满足","不满足"))</f>
        <v>不满足</v>
      </c>
      <c r="F10" s="71"/>
      <c r="G10" s="71"/>
      <c r="H10" s="72"/>
      <c r="I10" s="71"/>
      <c r="J10" s="85" t="s">
        <v>85</v>
      </c>
      <c r="K10" s="86">
        <v>1.65</v>
      </c>
    </row>
    <row r="11" spans="1:22" ht="20.100000000000001" customHeight="1" x14ac:dyDescent="0.15">
      <c r="B11" s="77">
        <v>3</v>
      </c>
      <c r="C11" s="40" t="s">
        <v>264</v>
      </c>
      <c r="D11" s="69" cm="1">
        <f t="array" ref="D11">FindData(C11,$H$2,$G$2)</f>
        <v>330.4</v>
      </c>
      <c r="E11" s="78" t="str">
        <f t="shared" si="0"/>
        <v>不满足</v>
      </c>
      <c r="F11" s="71"/>
      <c r="G11" s="71"/>
      <c r="H11" s="72"/>
      <c r="I11" s="71"/>
      <c r="J11" s="85" t="s">
        <v>86</v>
      </c>
      <c r="K11" s="86">
        <v>1.67</v>
      </c>
    </row>
    <row r="12" spans="1:22" ht="20.100000000000001" customHeight="1" x14ac:dyDescent="0.15">
      <c r="B12" s="77">
        <v>4</v>
      </c>
      <c r="C12" s="40" t="s">
        <v>265</v>
      </c>
      <c r="D12" s="69" cm="1">
        <f t="array" ref="D12">FindData(C12,$H$2,$G$2)</f>
        <v>428.7</v>
      </c>
      <c r="E12" s="78" t="str">
        <f t="shared" si="0"/>
        <v>不满足</v>
      </c>
      <c r="F12" s="71"/>
      <c r="G12" s="71"/>
      <c r="H12" s="72"/>
      <c r="I12" s="71"/>
      <c r="J12" s="85" t="s">
        <v>87</v>
      </c>
      <c r="K12" s="86">
        <v>1.7</v>
      </c>
    </row>
    <row r="13" spans="1:22" ht="20.100000000000001" customHeight="1" x14ac:dyDescent="0.15">
      <c r="B13" s="77">
        <v>5</v>
      </c>
      <c r="C13" s="40" t="s">
        <v>266</v>
      </c>
      <c r="D13" s="69" cm="1">
        <f t="array" ref="D13">FindData(C13,$H$2,$G$2)</f>
        <v>551.20000000000005</v>
      </c>
      <c r="E13" s="78" t="str">
        <f t="shared" si="0"/>
        <v>不满足</v>
      </c>
      <c r="F13" s="71"/>
      <c r="G13" s="71"/>
      <c r="H13" s="72"/>
      <c r="I13" s="71"/>
      <c r="J13" s="85" t="s">
        <v>88</v>
      </c>
      <c r="K13" s="86">
        <v>1.75</v>
      </c>
    </row>
    <row r="14" spans="1:22" ht="20.100000000000001" customHeight="1" x14ac:dyDescent="0.15">
      <c r="B14" s="77">
        <v>6</v>
      </c>
      <c r="C14" s="40" t="s">
        <v>267</v>
      </c>
      <c r="D14" s="69" cm="1">
        <f t="array" ref="D14">FindData(C14,$H$2,$G$2)</f>
        <v>649</v>
      </c>
      <c r="E14" s="78" t="str">
        <f t="shared" si="0"/>
        <v>不满足</v>
      </c>
      <c r="F14" s="71"/>
      <c r="G14" s="71"/>
      <c r="H14" s="72"/>
      <c r="I14" s="71"/>
      <c r="J14" s="85" t="s">
        <v>273</v>
      </c>
      <c r="K14" s="86">
        <v>1.8</v>
      </c>
    </row>
    <row r="15" spans="1:22" ht="20.100000000000001" customHeight="1" x14ac:dyDescent="0.15">
      <c r="B15" s="77">
        <v>7</v>
      </c>
      <c r="C15" s="40" t="s">
        <v>268</v>
      </c>
      <c r="D15" s="69" cm="1">
        <f t="array" ref="D15">FindData(C15,$H$2,$G$2)</f>
        <v>885</v>
      </c>
      <c r="E15" s="78" t="str">
        <f t="shared" si="0"/>
        <v>不满足</v>
      </c>
      <c r="F15" s="71"/>
      <c r="G15" s="71"/>
      <c r="H15" s="72"/>
      <c r="I15" s="71"/>
      <c r="J15" s="85" t="s">
        <v>89</v>
      </c>
      <c r="K15" s="86">
        <v>1.85</v>
      </c>
      <c r="M15" s="65"/>
    </row>
    <row r="16" spans="1:22" ht="20.100000000000001" customHeight="1" x14ac:dyDescent="0.15">
      <c r="B16" s="77">
        <v>8</v>
      </c>
      <c r="C16" s="40" t="s">
        <v>269</v>
      </c>
      <c r="D16" s="69" cm="1">
        <f t="array" ref="D16">FindData(C16,$H$2,$G$2)</f>
        <v>1093.4000000000001</v>
      </c>
      <c r="E16" s="78" t="str">
        <f t="shared" si="0"/>
        <v>不满足</v>
      </c>
      <c r="F16" s="71"/>
      <c r="G16" s="71"/>
      <c r="H16" s="72"/>
      <c r="I16" s="71"/>
      <c r="J16" s="85" t="s">
        <v>90</v>
      </c>
      <c r="K16" s="86"/>
    </row>
    <row r="17" spans="2:11" ht="20.100000000000001" customHeight="1" x14ac:dyDescent="0.15">
      <c r="B17" s="77">
        <v>9</v>
      </c>
      <c r="C17" s="40" t="s">
        <v>270</v>
      </c>
      <c r="D17" s="69" cm="1">
        <f t="array" ref="D17">FindData(C17,$H$2,$G$2)</f>
        <v>1173.7</v>
      </c>
      <c r="E17" s="78" t="str">
        <f t="shared" si="0"/>
        <v>不满足</v>
      </c>
      <c r="F17" s="71"/>
      <c r="G17" s="71"/>
      <c r="H17" s="72"/>
      <c r="I17" s="71"/>
      <c r="J17" s="85" t="s">
        <v>91</v>
      </c>
      <c r="K17" s="86"/>
    </row>
    <row r="18" spans="2:11" ht="20.100000000000001" customHeight="1" x14ac:dyDescent="0.15">
      <c r="B18" s="77">
        <v>10</v>
      </c>
      <c r="C18" s="40" t="s">
        <v>271</v>
      </c>
      <c r="D18" s="69" cm="1">
        <f t="array" ref="D18">FindData(C18,$H$2,$G$2)</f>
        <v>1589.9</v>
      </c>
      <c r="E18" s="78" t="str">
        <f t="shared" si="0"/>
        <v>不满足</v>
      </c>
      <c r="F18" s="71"/>
      <c r="G18" s="71"/>
      <c r="H18" s="72"/>
      <c r="I18" s="71"/>
      <c r="J18" s="85" t="s">
        <v>92</v>
      </c>
      <c r="K18" s="86"/>
    </row>
    <row r="19" spans="2:11" ht="20.100000000000001" customHeight="1" x14ac:dyDescent="0.15">
      <c r="B19" s="77">
        <v>11</v>
      </c>
      <c r="C19" s="40" t="s">
        <v>272</v>
      </c>
      <c r="D19" s="69" cm="1">
        <f t="array" ref="D19">FindData(C19,$H$2,$G$2)</f>
        <v>2119.1999999999998</v>
      </c>
      <c r="E19" s="78" t="str">
        <f t="shared" si="0"/>
        <v>不满足</v>
      </c>
      <c r="F19" s="71"/>
      <c r="G19" s="71"/>
      <c r="H19" s="72"/>
      <c r="I19" s="71"/>
      <c r="J19" s="85" t="s">
        <v>93</v>
      </c>
      <c r="K19" s="86"/>
    </row>
    <row r="20" spans="2:11" ht="20.100000000000001" customHeight="1" x14ac:dyDescent="0.15">
      <c r="B20" s="77">
        <v>12</v>
      </c>
      <c r="C20" s="40" t="s">
        <v>282</v>
      </c>
      <c r="D20" s="69" cm="1">
        <f t="array" ref="D20">FindData(C20,$H$2,$G$2)</f>
        <v>3179.8</v>
      </c>
      <c r="E20" s="78" t="str">
        <f t="shared" ref="E20" si="1">IF(OR(D20="未找到数据。",D20="未找到表头。"),"×",IF(D20&gt;=$I$2,"满足","不满足"))</f>
        <v>满足</v>
      </c>
      <c r="F20" s="71"/>
      <c r="G20" s="71"/>
      <c r="H20" s="72"/>
      <c r="I20" s="71"/>
      <c r="J20" s="85" t="s">
        <v>94</v>
      </c>
      <c r="K20" s="86"/>
    </row>
    <row r="21" spans="2:11" ht="20.100000000000001" customHeight="1" x14ac:dyDescent="0.15">
      <c r="B21" s="77">
        <v>13</v>
      </c>
      <c r="C21" s="40"/>
      <c r="D21" s="69"/>
      <c r="E21" s="78"/>
      <c r="F21" s="71"/>
      <c r="G21" s="71"/>
      <c r="H21" s="72"/>
      <c r="I21" s="71"/>
      <c r="J21" s="85" t="s">
        <v>95</v>
      </c>
      <c r="K21" s="86"/>
    </row>
    <row r="22" spans="2:11" ht="20.100000000000001" customHeight="1" x14ac:dyDescent="0.15">
      <c r="B22" s="77">
        <v>14</v>
      </c>
      <c r="C22" s="40"/>
      <c r="D22" s="69"/>
      <c r="E22" s="78"/>
      <c r="F22" s="71"/>
      <c r="G22" s="71"/>
      <c r="H22" s="72"/>
      <c r="I22" s="71"/>
      <c r="J22" s="85" t="s">
        <v>96</v>
      </c>
      <c r="K22" s="86"/>
    </row>
    <row r="23" spans="2:11" ht="20.100000000000001" customHeight="1" x14ac:dyDescent="0.15">
      <c r="B23" s="77">
        <v>15</v>
      </c>
      <c r="C23" s="40"/>
      <c r="D23" s="69"/>
      <c r="E23" s="78"/>
      <c r="F23" s="71"/>
      <c r="G23" s="73"/>
      <c r="H23" s="72"/>
      <c r="I23" s="71"/>
      <c r="J23" s="85" t="s">
        <v>97</v>
      </c>
      <c r="K23" s="87"/>
    </row>
    <row r="24" spans="2:11" ht="20.100000000000001" customHeight="1" x14ac:dyDescent="0.15">
      <c r="B24" s="77">
        <v>16</v>
      </c>
      <c r="C24" s="40"/>
      <c r="D24" s="69"/>
      <c r="E24" s="78"/>
      <c r="F24" s="71"/>
      <c r="G24" s="73"/>
      <c r="H24" s="72"/>
      <c r="I24" s="71"/>
      <c r="J24" s="85" t="s">
        <v>118</v>
      </c>
      <c r="K24" s="87"/>
    </row>
    <row r="25" spans="2:11" ht="20.100000000000001" customHeight="1" x14ac:dyDescent="0.15">
      <c r="B25" s="77">
        <v>17</v>
      </c>
      <c r="C25" s="40"/>
      <c r="D25" s="69"/>
      <c r="E25" s="78"/>
      <c r="F25" s="71"/>
      <c r="G25" s="73"/>
      <c r="H25" s="72"/>
      <c r="I25" s="71"/>
      <c r="J25" s="88"/>
      <c r="K25" s="87"/>
    </row>
    <row r="26" spans="2:11" ht="20.100000000000001" customHeight="1" x14ac:dyDescent="0.15">
      <c r="B26" s="77">
        <v>18</v>
      </c>
      <c r="C26" s="40"/>
      <c r="D26" s="69"/>
      <c r="E26" s="78"/>
      <c r="F26" s="71"/>
      <c r="G26" s="73"/>
      <c r="H26" s="72"/>
      <c r="I26" s="71"/>
      <c r="J26" s="88"/>
      <c r="K26" s="87"/>
    </row>
    <row r="27" spans="2:11" ht="20.100000000000001" customHeight="1" thickBot="1" x14ac:dyDescent="0.2">
      <c r="B27" s="79">
        <v>19</v>
      </c>
      <c r="C27" s="80"/>
      <c r="D27" s="81"/>
      <c r="E27" s="82"/>
      <c r="F27" s="71"/>
      <c r="G27" s="73"/>
      <c r="H27" s="72"/>
      <c r="I27" s="71"/>
      <c r="J27" s="89"/>
      <c r="K27" s="90"/>
    </row>
    <row r="28" spans="2:11" ht="20.100000000000001" customHeight="1" x14ac:dyDescent="0.15">
      <c r="B28" s="50"/>
      <c r="C28" s="50"/>
      <c r="D28" s="50"/>
      <c r="E28" s="50"/>
      <c r="F28" s="71"/>
      <c r="G28" s="73"/>
      <c r="H28" s="72"/>
      <c r="I28" s="71"/>
      <c r="J28" s="50"/>
      <c r="K28" s="50"/>
    </row>
    <row r="29" spans="2:11" ht="20.100000000000001" customHeight="1" x14ac:dyDescent="0.15">
      <c r="B29" s="50"/>
      <c r="C29" s="50"/>
      <c r="D29" s="50"/>
      <c r="E29" s="50"/>
      <c r="F29" s="71"/>
      <c r="G29" s="73"/>
      <c r="H29" s="72"/>
      <c r="I29" s="71"/>
      <c r="J29" s="50"/>
      <c r="K29" s="50"/>
    </row>
    <row r="30" spans="2:11" ht="20.100000000000001" customHeight="1" x14ac:dyDescent="0.15">
      <c r="B30" s="50"/>
      <c r="C30" s="50"/>
      <c r="D30" s="50"/>
      <c r="E30" s="50"/>
      <c r="F30" s="71"/>
      <c r="G30" s="73"/>
      <c r="H30" s="72"/>
      <c r="I30" s="71"/>
      <c r="J30" s="50"/>
      <c r="K30" s="50"/>
    </row>
    <row r="31" spans="2:11" ht="20.100000000000001" customHeight="1" x14ac:dyDescent="0.15">
      <c r="B31" s="50"/>
      <c r="C31" s="50"/>
      <c r="D31" s="50"/>
      <c r="E31" s="50"/>
      <c r="F31" s="71"/>
      <c r="G31" s="73"/>
      <c r="H31" s="72"/>
      <c r="I31" s="71"/>
      <c r="J31" s="50"/>
      <c r="K31" s="50"/>
    </row>
    <row r="32" spans="2:11" ht="20.100000000000001" customHeight="1" x14ac:dyDescent="0.15">
      <c r="B32" s="50"/>
      <c r="C32" s="50"/>
      <c r="D32" s="50"/>
      <c r="E32" s="50"/>
      <c r="F32" s="71"/>
      <c r="G32" s="73"/>
      <c r="H32" s="72"/>
      <c r="I32" s="71"/>
      <c r="J32" s="50"/>
      <c r="K32" s="50"/>
    </row>
    <row r="33" spans="2:11" ht="20.100000000000001" customHeight="1" x14ac:dyDescent="0.15">
      <c r="B33" s="50"/>
      <c r="C33" s="50"/>
      <c r="D33" s="50"/>
      <c r="E33" s="50"/>
      <c r="F33" s="71"/>
      <c r="G33" s="73"/>
      <c r="H33" s="72"/>
      <c r="I33" s="71"/>
      <c r="J33" s="50"/>
      <c r="K33" s="50"/>
    </row>
    <row r="34" spans="2:11" ht="20.100000000000001" customHeight="1" x14ac:dyDescent="0.15">
      <c r="B34" s="50"/>
      <c r="C34" s="50"/>
      <c r="D34" s="50"/>
      <c r="E34" s="50"/>
      <c r="F34" s="71"/>
      <c r="G34" s="73"/>
      <c r="H34" s="72"/>
      <c r="I34" s="71"/>
      <c r="J34" s="50"/>
      <c r="K34" s="50"/>
    </row>
    <row r="35" spans="2:11" ht="20.100000000000001" customHeight="1" x14ac:dyDescent="0.15">
      <c r="B35" s="50"/>
      <c r="C35" s="50"/>
      <c r="D35" s="50"/>
      <c r="E35" s="50"/>
      <c r="F35" s="71"/>
      <c r="G35" s="73"/>
      <c r="H35" s="72"/>
      <c r="I35" s="71"/>
      <c r="J35" s="50"/>
      <c r="K35" s="50"/>
    </row>
    <row r="36" spans="2:11" ht="20.100000000000001" customHeight="1" x14ac:dyDescent="0.15">
      <c r="B36" s="50"/>
      <c r="C36" s="50"/>
      <c r="D36" s="50"/>
      <c r="E36" s="50"/>
      <c r="F36" s="71"/>
      <c r="G36" s="73"/>
      <c r="H36" s="72"/>
      <c r="I36" s="71"/>
      <c r="J36" s="50"/>
      <c r="K36" s="50"/>
    </row>
    <row r="37" spans="2:11" ht="20.100000000000001" customHeight="1" x14ac:dyDescent="0.15">
      <c r="B37" s="50"/>
      <c r="C37" s="50"/>
      <c r="D37" s="50"/>
      <c r="E37" s="50"/>
      <c r="F37" s="71"/>
      <c r="G37" s="73"/>
      <c r="H37" s="72"/>
      <c r="I37" s="71"/>
      <c r="J37" s="50"/>
      <c r="K37" s="50"/>
    </row>
    <row r="38" spans="2:11" ht="20.100000000000001" customHeight="1" x14ac:dyDescent="0.15">
      <c r="B38" s="50"/>
      <c r="C38" s="50"/>
      <c r="D38" s="50"/>
      <c r="E38" s="50"/>
      <c r="F38" s="71"/>
      <c r="G38" s="73"/>
      <c r="H38" s="72"/>
      <c r="I38" s="71"/>
      <c r="J38" s="50"/>
      <c r="K38" s="50"/>
    </row>
    <row r="39" spans="2:11" ht="20.100000000000001" customHeight="1" x14ac:dyDescent="0.15">
      <c r="B39" s="50"/>
      <c r="C39" s="50"/>
      <c r="D39" s="50"/>
      <c r="E39" s="50"/>
      <c r="F39" s="71"/>
      <c r="G39" s="73"/>
      <c r="H39" s="72"/>
      <c r="I39" s="71"/>
      <c r="J39" s="50"/>
      <c r="K39" s="50"/>
    </row>
    <row r="40" spans="2:11" ht="20.100000000000001" customHeight="1" x14ac:dyDescent="0.15">
      <c r="B40" s="50"/>
      <c r="C40" s="50"/>
      <c r="D40" s="50"/>
      <c r="E40" s="50"/>
      <c r="F40" s="71"/>
      <c r="G40" s="73"/>
      <c r="H40" s="72"/>
      <c r="I40" s="71"/>
      <c r="J40" s="50"/>
      <c r="K40" s="50"/>
    </row>
    <row r="41" spans="2:11" ht="20.100000000000001" customHeight="1" x14ac:dyDescent="0.15">
      <c r="B41" s="50"/>
      <c r="C41" s="50"/>
      <c r="D41" s="50"/>
      <c r="E41" s="50"/>
      <c r="F41" s="71"/>
      <c r="G41" s="73"/>
      <c r="H41" s="72"/>
      <c r="I41" s="71"/>
      <c r="J41" s="50"/>
      <c r="K41" s="50"/>
    </row>
    <row r="42" spans="2:11" ht="20.100000000000001" customHeight="1" x14ac:dyDescent="0.15">
      <c r="B42" s="50"/>
      <c r="C42" s="50"/>
      <c r="D42" s="50"/>
      <c r="E42" s="50"/>
      <c r="F42" s="71"/>
      <c r="G42" s="73"/>
      <c r="H42" s="72"/>
      <c r="I42" s="71"/>
      <c r="J42" s="50"/>
      <c r="K42" s="50"/>
    </row>
    <row r="43" spans="2:11" ht="20.100000000000001" customHeight="1" x14ac:dyDescent="0.15">
      <c r="B43" s="50"/>
      <c r="C43" s="50"/>
      <c r="D43" s="50"/>
      <c r="E43" s="50"/>
      <c r="F43" s="71"/>
      <c r="G43" s="73"/>
      <c r="H43" s="72"/>
      <c r="I43" s="71"/>
      <c r="J43" s="50"/>
      <c r="K43" s="50"/>
    </row>
    <row r="44" spans="2:11" ht="20.100000000000001" customHeight="1" x14ac:dyDescent="0.15">
      <c r="G44" s="27"/>
    </row>
    <row r="45" spans="2:11" ht="20.100000000000001" customHeight="1" x14ac:dyDescent="0.15">
      <c r="G45" s="27"/>
    </row>
    <row r="46" spans="2:11" ht="20.100000000000001" customHeight="1" x14ac:dyDescent="0.15">
      <c r="G46" s="27"/>
    </row>
    <row r="47" spans="2:11" ht="20.100000000000001" customHeight="1" x14ac:dyDescent="0.15">
      <c r="G47" s="27"/>
    </row>
    <row r="48" spans="2:11" ht="20.100000000000001" customHeight="1" x14ac:dyDescent="0.15">
      <c r="G48" s="27"/>
    </row>
    <row r="49" spans="7:7" ht="20.100000000000001" customHeight="1" x14ac:dyDescent="0.15">
      <c r="G49" s="27"/>
    </row>
    <row r="50" spans="7:7" ht="20.100000000000001" customHeight="1" x14ac:dyDescent="0.15">
      <c r="G50" s="27"/>
    </row>
    <row r="51" spans="7:7" ht="20.100000000000001" customHeight="1" x14ac:dyDescent="0.15">
      <c r="G51" s="27"/>
    </row>
    <row r="52" spans="7:7" ht="20.100000000000001" customHeight="1" x14ac:dyDescent="0.15">
      <c r="G52" s="27"/>
    </row>
    <row r="53" spans="7:7" ht="20.100000000000001" customHeight="1" x14ac:dyDescent="0.15">
      <c r="G53" s="27"/>
    </row>
    <row r="54" spans="7:7" ht="20.100000000000001" customHeight="1" x14ac:dyDescent="0.15">
      <c r="G54" s="27"/>
    </row>
    <row r="55" spans="7:7" ht="20.100000000000001" customHeight="1" x14ac:dyDescent="0.15">
      <c r="G55" s="27"/>
    </row>
    <row r="56" spans="7:7" ht="20.100000000000001" customHeight="1" x14ac:dyDescent="0.15">
      <c r="G56" s="27"/>
    </row>
    <row r="57" spans="7:7" ht="20.100000000000001" customHeight="1" x14ac:dyDescent="0.15">
      <c r="G57" s="27"/>
    </row>
    <row r="58" spans="7:7" ht="20.100000000000001" customHeight="1" x14ac:dyDescent="0.15">
      <c r="G58" s="27"/>
    </row>
    <row r="59" spans="7:7" ht="20.100000000000001" customHeight="1" x14ac:dyDescent="0.15">
      <c r="G59" s="27"/>
    </row>
    <row r="60" spans="7:7" ht="20.100000000000001" customHeight="1" x14ac:dyDescent="0.15">
      <c r="G60" s="27"/>
    </row>
    <row r="61" spans="7:7" ht="20.100000000000001" customHeight="1" x14ac:dyDescent="0.15">
      <c r="G61" s="27"/>
    </row>
    <row r="62" spans="7:7" ht="20.100000000000001" customHeight="1" x14ac:dyDescent="0.15">
      <c r="G62" s="27"/>
    </row>
    <row r="63" spans="7:7" ht="20.100000000000001" customHeight="1" x14ac:dyDescent="0.15">
      <c r="G63" s="27"/>
    </row>
    <row r="64" spans="7:7" ht="20.100000000000001" customHeight="1" x14ac:dyDescent="0.15">
      <c r="G64" s="27"/>
    </row>
    <row r="65" spans="7:7" ht="20.100000000000001" customHeight="1" x14ac:dyDescent="0.15">
      <c r="G65" s="27"/>
    </row>
    <row r="66" spans="7:7" ht="20.100000000000001" customHeight="1" x14ac:dyDescent="0.15">
      <c r="G66" s="27"/>
    </row>
    <row r="67" spans="7:7" ht="20.100000000000001" customHeight="1" x14ac:dyDescent="0.15">
      <c r="G67" s="27"/>
    </row>
    <row r="68" spans="7:7" ht="20.100000000000001" customHeight="1" x14ac:dyDescent="0.15">
      <c r="G68" s="27"/>
    </row>
    <row r="69" spans="7:7" ht="20.100000000000001" customHeight="1" x14ac:dyDescent="0.15">
      <c r="G69" s="27"/>
    </row>
    <row r="70" spans="7:7" ht="20.100000000000001" customHeight="1" x14ac:dyDescent="0.15">
      <c r="G70" s="27"/>
    </row>
    <row r="71" spans="7:7" ht="20.100000000000001" customHeight="1" x14ac:dyDescent="0.15">
      <c r="G71" s="27"/>
    </row>
    <row r="72" spans="7:7" ht="20.100000000000001" customHeight="1" x14ac:dyDescent="0.15">
      <c r="G72" s="27"/>
    </row>
    <row r="73" spans="7:7" ht="20.100000000000001" customHeight="1" x14ac:dyDescent="0.15">
      <c r="G73" s="27"/>
    </row>
    <row r="74" spans="7:7" ht="20.100000000000001" customHeight="1" x14ac:dyDescent="0.15">
      <c r="G74" s="27"/>
    </row>
    <row r="75" spans="7:7" ht="20.100000000000001" customHeight="1" x14ac:dyDescent="0.15">
      <c r="G75" s="27"/>
    </row>
    <row r="76" spans="7:7" ht="20.100000000000001" customHeight="1" x14ac:dyDescent="0.15">
      <c r="G76" s="27"/>
    </row>
    <row r="77" spans="7:7" ht="20.100000000000001" customHeight="1" x14ac:dyDescent="0.15">
      <c r="G77" s="21"/>
    </row>
    <row r="78" spans="7:7" ht="20.100000000000001" customHeight="1" x14ac:dyDescent="0.15">
      <c r="G78" s="21"/>
    </row>
    <row r="79" spans="7:7" ht="20.100000000000001" customHeight="1" x14ac:dyDescent="0.15">
      <c r="G79" s="21"/>
    </row>
    <row r="80" spans="7:7" ht="20.100000000000001" customHeight="1" x14ac:dyDescent="0.15">
      <c r="G80" s="21"/>
    </row>
    <row r="81" spans="7:7" ht="20.100000000000001" customHeight="1" x14ac:dyDescent="0.15">
      <c r="G81" s="21"/>
    </row>
    <row r="82" spans="7:7" ht="20.100000000000001" customHeight="1" x14ac:dyDescent="0.15">
      <c r="G82" s="21"/>
    </row>
    <row r="83" spans="7:7" ht="20.100000000000001" customHeight="1" x14ac:dyDescent="0.15">
      <c r="G83" s="21"/>
    </row>
    <row r="84" spans="7:7" ht="20.100000000000001" customHeight="1" x14ac:dyDescent="0.15">
      <c r="G84" s="21"/>
    </row>
    <row r="85" spans="7:7" ht="20.100000000000001" customHeight="1" x14ac:dyDescent="0.15">
      <c r="G85" s="21"/>
    </row>
    <row r="86" spans="7:7" ht="20.100000000000001" customHeight="1" x14ac:dyDescent="0.15">
      <c r="G86" s="21"/>
    </row>
    <row r="87" spans="7:7" ht="20.100000000000001" customHeight="1" x14ac:dyDescent="0.15">
      <c r="G87" s="21"/>
    </row>
    <row r="88" spans="7:7" ht="20.100000000000001" customHeight="1" x14ac:dyDescent="0.15">
      <c r="G88" s="21"/>
    </row>
    <row r="89" spans="7:7" ht="20.100000000000001" customHeight="1" x14ac:dyDescent="0.15">
      <c r="G89" s="21"/>
    </row>
    <row r="90" spans="7:7" ht="20.100000000000001" customHeight="1" x14ac:dyDescent="0.15">
      <c r="G90" s="21"/>
    </row>
    <row r="91" spans="7:7" ht="20.100000000000001" customHeight="1" x14ac:dyDescent="0.15">
      <c r="G91" s="21"/>
    </row>
    <row r="92" spans="7:7" ht="20.100000000000001" customHeight="1" x14ac:dyDescent="0.15">
      <c r="G92" s="21"/>
    </row>
    <row r="93" spans="7:7" ht="20.100000000000001" customHeight="1" x14ac:dyDescent="0.15">
      <c r="G93" s="21"/>
    </row>
    <row r="94" spans="7:7" ht="20.100000000000001" customHeight="1" x14ac:dyDescent="0.15">
      <c r="G94" s="21"/>
    </row>
    <row r="95" spans="7:7" x14ac:dyDescent="0.15">
      <c r="G95" s="21"/>
    </row>
    <row r="96" spans="7:7" x14ac:dyDescent="0.15">
      <c r="G96" s="21"/>
    </row>
    <row r="97" spans="7:7" x14ac:dyDescent="0.15">
      <c r="G97" s="21"/>
    </row>
    <row r="98" spans="7:7" x14ac:dyDescent="0.15">
      <c r="G98" s="21"/>
    </row>
    <row r="99" spans="7:7" x14ac:dyDescent="0.15">
      <c r="G99" s="21"/>
    </row>
    <row r="100" spans="7:7" x14ac:dyDescent="0.15">
      <c r="G100" s="21"/>
    </row>
    <row r="101" spans="7:7" x14ac:dyDescent="0.15">
      <c r="G101" s="21"/>
    </row>
    <row r="102" spans="7:7" x14ac:dyDescent="0.15">
      <c r="G102" s="21"/>
    </row>
    <row r="103" spans="7:7" x14ac:dyDescent="0.15">
      <c r="G103" s="21"/>
    </row>
    <row r="104" spans="7:7" x14ac:dyDescent="0.15">
      <c r="G104" s="21"/>
    </row>
    <row r="105" spans="7:7" x14ac:dyDescent="0.15">
      <c r="G105" s="21"/>
    </row>
    <row r="106" spans="7:7" x14ac:dyDescent="0.15">
      <c r="G106" s="21"/>
    </row>
    <row r="107" spans="7:7" x14ac:dyDescent="0.15">
      <c r="G107" s="21"/>
    </row>
    <row r="108" spans="7:7" x14ac:dyDescent="0.15">
      <c r="G108" s="21"/>
    </row>
    <row r="109" spans="7:7" x14ac:dyDescent="0.15">
      <c r="G109" s="21"/>
    </row>
    <row r="110" spans="7:7" x14ac:dyDescent="0.15">
      <c r="G110" s="21"/>
    </row>
    <row r="111" spans="7:7" x14ac:dyDescent="0.15">
      <c r="G111" s="21"/>
    </row>
    <row r="112" spans="7:7" x14ac:dyDescent="0.15">
      <c r="G112" s="21"/>
    </row>
    <row r="113" spans="7:7" x14ac:dyDescent="0.15">
      <c r="G113" s="21"/>
    </row>
    <row r="114" spans="7:7" x14ac:dyDescent="0.15">
      <c r="G114" s="21"/>
    </row>
    <row r="115" spans="7:7" x14ac:dyDescent="0.15">
      <c r="G115" s="21"/>
    </row>
    <row r="116" spans="7:7" x14ac:dyDescent="0.15">
      <c r="G116" s="21"/>
    </row>
    <row r="117" spans="7:7" x14ac:dyDescent="0.15">
      <c r="G117" s="21"/>
    </row>
    <row r="118" spans="7:7" x14ac:dyDescent="0.15">
      <c r="G118" s="21"/>
    </row>
    <row r="119" spans="7:7" x14ac:dyDescent="0.15">
      <c r="G119" s="21"/>
    </row>
    <row r="120" spans="7:7" x14ac:dyDescent="0.15">
      <c r="G120" s="21"/>
    </row>
    <row r="121" spans="7:7" x14ac:dyDescent="0.15">
      <c r="G121" s="21"/>
    </row>
    <row r="122" spans="7:7" x14ac:dyDescent="0.15">
      <c r="G122" s="21"/>
    </row>
    <row r="123" spans="7:7" x14ac:dyDescent="0.15">
      <c r="G123" s="21"/>
    </row>
    <row r="124" spans="7:7" x14ac:dyDescent="0.15">
      <c r="G124" s="21"/>
    </row>
    <row r="125" spans="7:7" x14ac:dyDescent="0.15">
      <c r="G125" s="21"/>
    </row>
    <row r="126" spans="7:7" x14ac:dyDescent="0.15">
      <c r="G126" s="21"/>
    </row>
    <row r="127" spans="7:7" x14ac:dyDescent="0.15">
      <c r="G127" s="21"/>
    </row>
    <row r="128" spans="7:7" x14ac:dyDescent="0.15">
      <c r="G128" s="21"/>
    </row>
    <row r="129" spans="7:7" x14ac:dyDescent="0.15">
      <c r="G129" s="21"/>
    </row>
    <row r="130" spans="7:7" x14ac:dyDescent="0.15">
      <c r="G130" s="21"/>
    </row>
    <row r="131" spans="7:7" x14ac:dyDescent="0.15">
      <c r="G131" s="21"/>
    </row>
    <row r="132" spans="7:7" x14ac:dyDescent="0.15">
      <c r="G132" s="21"/>
    </row>
    <row r="133" spans="7:7" x14ac:dyDescent="0.15">
      <c r="G133" s="21"/>
    </row>
    <row r="134" spans="7:7" x14ac:dyDescent="0.15">
      <c r="G134" s="21"/>
    </row>
    <row r="135" spans="7:7" x14ac:dyDescent="0.15">
      <c r="G135" s="21"/>
    </row>
    <row r="136" spans="7:7" x14ac:dyDescent="0.15">
      <c r="G136" s="21"/>
    </row>
    <row r="137" spans="7:7" x14ac:dyDescent="0.15">
      <c r="G137" s="21"/>
    </row>
    <row r="138" spans="7:7" x14ac:dyDescent="0.15">
      <c r="G138" s="21"/>
    </row>
    <row r="139" spans="7:7" x14ac:dyDescent="0.15">
      <c r="G139" s="21"/>
    </row>
    <row r="140" spans="7:7" x14ac:dyDescent="0.15">
      <c r="G140" s="21"/>
    </row>
    <row r="141" spans="7:7" x14ac:dyDescent="0.15">
      <c r="G141" s="21"/>
    </row>
    <row r="142" spans="7:7" x14ac:dyDescent="0.15">
      <c r="G142" s="21"/>
    </row>
    <row r="143" spans="7:7" x14ac:dyDescent="0.15">
      <c r="G143" s="21"/>
    </row>
    <row r="144" spans="7:7" x14ac:dyDescent="0.15">
      <c r="G144" s="21"/>
    </row>
    <row r="145" spans="7:7" x14ac:dyDescent="0.15">
      <c r="G145" s="21"/>
    </row>
    <row r="146" spans="7:7" x14ac:dyDescent="0.15">
      <c r="G146" s="21"/>
    </row>
    <row r="147" spans="7:7" x14ac:dyDescent="0.15">
      <c r="G147" s="21"/>
    </row>
    <row r="148" spans="7:7" x14ac:dyDescent="0.15">
      <c r="G148" s="21"/>
    </row>
    <row r="149" spans="7:7" x14ac:dyDescent="0.15">
      <c r="G149" s="21"/>
    </row>
    <row r="150" spans="7:7" x14ac:dyDescent="0.15">
      <c r="G150" s="21"/>
    </row>
    <row r="151" spans="7:7" x14ac:dyDescent="0.15">
      <c r="G151" s="21"/>
    </row>
    <row r="152" spans="7:7" x14ac:dyDescent="0.15">
      <c r="G152" s="21"/>
    </row>
    <row r="153" spans="7:7" x14ac:dyDescent="0.15">
      <c r="G153" s="21"/>
    </row>
    <row r="154" spans="7:7" x14ac:dyDescent="0.15">
      <c r="G154" s="21"/>
    </row>
    <row r="155" spans="7:7" x14ac:dyDescent="0.15">
      <c r="G155" s="21"/>
    </row>
    <row r="156" spans="7:7" x14ac:dyDescent="0.15">
      <c r="G156" s="21"/>
    </row>
    <row r="157" spans="7:7" x14ac:dyDescent="0.15">
      <c r="G157" s="21"/>
    </row>
    <row r="158" spans="7:7" x14ac:dyDescent="0.15">
      <c r="G158" s="21"/>
    </row>
    <row r="159" spans="7:7" x14ac:dyDescent="0.15">
      <c r="G159" s="21"/>
    </row>
    <row r="160" spans="7:7" x14ac:dyDescent="0.15">
      <c r="G160" s="21"/>
    </row>
    <row r="161" spans="7:7" x14ac:dyDescent="0.15">
      <c r="G161" s="21"/>
    </row>
    <row r="162" spans="7:7" x14ac:dyDescent="0.15">
      <c r="G162" s="21"/>
    </row>
    <row r="163" spans="7:7" x14ac:dyDescent="0.15">
      <c r="G163" s="21"/>
    </row>
    <row r="164" spans="7:7" x14ac:dyDescent="0.15">
      <c r="G164" s="21"/>
    </row>
    <row r="165" spans="7:7" x14ac:dyDescent="0.15">
      <c r="G165" s="21"/>
    </row>
    <row r="166" spans="7:7" x14ac:dyDescent="0.15">
      <c r="G166" s="21"/>
    </row>
    <row r="167" spans="7:7" x14ac:dyDescent="0.15">
      <c r="G167" s="21"/>
    </row>
    <row r="168" spans="7:7" x14ac:dyDescent="0.15">
      <c r="G168" s="21"/>
    </row>
    <row r="169" spans="7:7" x14ac:dyDescent="0.15">
      <c r="G169" s="21"/>
    </row>
    <row r="170" spans="7:7" x14ac:dyDescent="0.15">
      <c r="G170" s="21"/>
    </row>
    <row r="171" spans="7:7" x14ac:dyDescent="0.15">
      <c r="G171" s="21"/>
    </row>
    <row r="172" spans="7:7" x14ac:dyDescent="0.15">
      <c r="G172" s="21"/>
    </row>
    <row r="173" spans="7:7" x14ac:dyDescent="0.15">
      <c r="G173" s="21"/>
    </row>
    <row r="174" spans="7:7" x14ac:dyDescent="0.15">
      <c r="G174" s="21"/>
    </row>
    <row r="175" spans="7:7" x14ac:dyDescent="0.15">
      <c r="G175" s="21"/>
    </row>
    <row r="176" spans="7:7" x14ac:dyDescent="0.15">
      <c r="G176" s="21"/>
    </row>
    <row r="177" spans="7:7" x14ac:dyDescent="0.15">
      <c r="G177" s="21"/>
    </row>
    <row r="178" spans="7:7" x14ac:dyDescent="0.15">
      <c r="G178" s="21"/>
    </row>
    <row r="179" spans="7:7" x14ac:dyDescent="0.15">
      <c r="G179" s="21"/>
    </row>
    <row r="180" spans="7:7" x14ac:dyDescent="0.15">
      <c r="G180" s="21"/>
    </row>
    <row r="181" spans="7:7" x14ac:dyDescent="0.15">
      <c r="G181" s="21"/>
    </row>
    <row r="182" spans="7:7" x14ac:dyDescent="0.15">
      <c r="G182" s="21"/>
    </row>
    <row r="183" spans="7:7" x14ac:dyDescent="0.15">
      <c r="G183" s="21"/>
    </row>
    <row r="184" spans="7:7" x14ac:dyDescent="0.15">
      <c r="G184" s="21"/>
    </row>
    <row r="185" spans="7:7" x14ac:dyDescent="0.15">
      <c r="G185" s="21"/>
    </row>
    <row r="186" spans="7:7" x14ac:dyDescent="0.15">
      <c r="G186" s="21"/>
    </row>
    <row r="187" spans="7:7" x14ac:dyDescent="0.15">
      <c r="G187" s="21"/>
    </row>
    <row r="188" spans="7:7" x14ac:dyDescent="0.15">
      <c r="G188" s="21"/>
    </row>
    <row r="189" spans="7:7" x14ac:dyDescent="0.15">
      <c r="G189" s="21"/>
    </row>
    <row r="190" spans="7:7" x14ac:dyDescent="0.15">
      <c r="G190" s="21"/>
    </row>
    <row r="191" spans="7:7" x14ac:dyDescent="0.15">
      <c r="G191" s="21"/>
    </row>
    <row r="192" spans="7:7" x14ac:dyDescent="0.15">
      <c r="G192" s="21"/>
    </row>
    <row r="193" spans="7:7" x14ac:dyDescent="0.15">
      <c r="G193" s="21"/>
    </row>
    <row r="194" spans="7:7" x14ac:dyDescent="0.15">
      <c r="G194" s="21"/>
    </row>
    <row r="195" spans="7:7" x14ac:dyDescent="0.15">
      <c r="G195" s="21"/>
    </row>
    <row r="196" spans="7:7" x14ac:dyDescent="0.15">
      <c r="G196" s="21"/>
    </row>
    <row r="197" spans="7:7" x14ac:dyDescent="0.15">
      <c r="G197" s="21"/>
    </row>
    <row r="198" spans="7:7" x14ac:dyDescent="0.15">
      <c r="G198" s="21"/>
    </row>
    <row r="199" spans="7:7" x14ac:dyDescent="0.15">
      <c r="G199" s="21"/>
    </row>
    <row r="200" spans="7:7" x14ac:dyDescent="0.15">
      <c r="G200" s="21"/>
    </row>
    <row r="201" spans="7:7" x14ac:dyDescent="0.15">
      <c r="G201" s="21"/>
    </row>
    <row r="202" spans="7:7" x14ac:dyDescent="0.15">
      <c r="G202" s="21"/>
    </row>
    <row r="203" spans="7:7" x14ac:dyDescent="0.15">
      <c r="G203" s="21"/>
    </row>
    <row r="204" spans="7:7" x14ac:dyDescent="0.15">
      <c r="G204" s="21"/>
    </row>
    <row r="205" spans="7:7" x14ac:dyDescent="0.15">
      <c r="G205" s="21"/>
    </row>
    <row r="206" spans="7:7" x14ac:dyDescent="0.15">
      <c r="G206" s="21"/>
    </row>
    <row r="207" spans="7:7" x14ac:dyDescent="0.15">
      <c r="G207" s="21"/>
    </row>
    <row r="208" spans="7:7" x14ac:dyDescent="0.15">
      <c r="G208" s="21"/>
    </row>
    <row r="209" spans="7:7" x14ac:dyDescent="0.15">
      <c r="G209" s="21"/>
    </row>
    <row r="210" spans="7:7" x14ac:dyDescent="0.15">
      <c r="G210" s="21"/>
    </row>
    <row r="211" spans="7:7" x14ac:dyDescent="0.15">
      <c r="G211" s="21"/>
    </row>
    <row r="212" spans="7:7" x14ac:dyDescent="0.15">
      <c r="G212" s="21"/>
    </row>
    <row r="213" spans="7:7" x14ac:dyDescent="0.15">
      <c r="G213" s="21"/>
    </row>
    <row r="214" spans="7:7" x14ac:dyDescent="0.15">
      <c r="G214" s="21"/>
    </row>
    <row r="215" spans="7:7" x14ac:dyDescent="0.15">
      <c r="G215" s="21"/>
    </row>
    <row r="216" spans="7:7" x14ac:dyDescent="0.15">
      <c r="G216" s="21"/>
    </row>
    <row r="217" spans="7:7" x14ac:dyDescent="0.15">
      <c r="G217" s="21"/>
    </row>
    <row r="218" spans="7:7" x14ac:dyDescent="0.15">
      <c r="G218" s="21"/>
    </row>
    <row r="219" spans="7:7" x14ac:dyDescent="0.15">
      <c r="G219" s="21"/>
    </row>
    <row r="220" spans="7:7" x14ac:dyDescent="0.15">
      <c r="G220" s="21"/>
    </row>
    <row r="221" spans="7:7" x14ac:dyDescent="0.15">
      <c r="G221" s="21"/>
    </row>
    <row r="222" spans="7:7" x14ac:dyDescent="0.15">
      <c r="G222" s="21"/>
    </row>
    <row r="223" spans="7:7" x14ac:dyDescent="0.15">
      <c r="G223" s="21"/>
    </row>
    <row r="224" spans="7:7" x14ac:dyDescent="0.15">
      <c r="G224" s="21"/>
    </row>
    <row r="225" spans="7:7" x14ac:dyDescent="0.15">
      <c r="G225" s="21"/>
    </row>
    <row r="226" spans="7:7" x14ac:dyDescent="0.15">
      <c r="G226" s="21"/>
    </row>
    <row r="227" spans="7:7" x14ac:dyDescent="0.15">
      <c r="G227" s="21"/>
    </row>
    <row r="228" spans="7:7" x14ac:dyDescent="0.15">
      <c r="G228" s="21"/>
    </row>
    <row r="229" spans="7:7" x14ac:dyDescent="0.15">
      <c r="G229" s="21"/>
    </row>
    <row r="230" spans="7:7" x14ac:dyDescent="0.15">
      <c r="G230" s="21"/>
    </row>
    <row r="231" spans="7:7" x14ac:dyDescent="0.15">
      <c r="G231" s="21"/>
    </row>
    <row r="232" spans="7:7" x14ac:dyDescent="0.15">
      <c r="G232" s="21"/>
    </row>
    <row r="233" spans="7:7" x14ac:dyDescent="0.15">
      <c r="G233" s="21"/>
    </row>
    <row r="234" spans="7:7" x14ac:dyDescent="0.15">
      <c r="G234" s="21"/>
    </row>
    <row r="235" spans="7:7" x14ac:dyDescent="0.15">
      <c r="G235" s="21"/>
    </row>
  </sheetData>
  <dataConsolidate/>
  <mergeCells count="1">
    <mergeCell ref="M5:V5"/>
  </mergeCells>
  <phoneticPr fontId="2" type="noConversion"/>
  <dataValidations count="8">
    <dataValidation type="list" allowBlank="1" showInputMessage="1" showErrorMessage="1" sqref="H2" xr:uid="{16D72C36-B8F8-416B-838B-FB891630E8D9}">
      <formula1>$K$9:$K$15</formula1>
    </dataValidation>
    <dataValidation type="list" allowBlank="1" showInputMessage="1" showErrorMessage="1" sqref="G2" xr:uid="{D2734DE1-2B52-40DD-9A21-81D6BD485BBA}">
      <formula1>$J$9:$J$24</formula1>
    </dataValidation>
    <dataValidation type="list" allowBlank="1" showInputMessage="1" showErrorMessage="1" sqref="K6" xr:uid="{127415A6-2694-420C-A4B1-A765245DC031}">
      <formula1>"是,否"</formula1>
    </dataValidation>
    <dataValidation type="whole" allowBlank="1" showInputMessage="1" showErrorMessage="1" sqref="C2" xr:uid="{98DE5B67-6D6D-460A-BAF2-7F33D5B36DFA}">
      <formula1>120</formula1>
      <formula2>312</formula2>
    </dataValidation>
    <dataValidation type="list" allowBlank="1" showInputMessage="1" showErrorMessage="1" sqref="F6" xr:uid="{AB50EF9E-2BE2-4691-8455-DB9584352E65}">
      <formula1>"ABB,国产"</formula1>
    </dataValidation>
    <dataValidation type="decimal" allowBlank="1" showInputMessage="1" showErrorMessage="1" sqref="F2" xr:uid="{0AE3A9B5-CE66-460D-A1D0-BE39DCF639FC}">
      <formula1>0.9</formula1>
      <formula2>1</formula2>
    </dataValidation>
    <dataValidation type="decimal" allowBlank="1" showInputMessage="1" showErrorMessage="1" sqref="E2" xr:uid="{C7AE9A80-016C-4942-8117-EEEDE38307CA}">
      <formula1>0.8</formula1>
      <formula2>1</formula2>
    </dataValidation>
    <dataValidation type="list" allowBlank="1" showInputMessage="1" showErrorMessage="1" sqref="D2" xr:uid="{A3F33FCD-40C0-4A4C-8685-E6D6E10F6A82}">
      <formula1>"1,,2,3,4"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E413F2-BB12-4A90-8479-49E1B8394222}">
          <x14:formula1>
            <xm:f>UPS!$A$2:$A$33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3"/>
  <sheetViews>
    <sheetView zoomScaleNormal="100" zoomScaleSheetLayoutView="100" workbookViewId="0">
      <selection activeCell="F28" sqref="F28"/>
    </sheetView>
  </sheetViews>
  <sheetFormatPr defaultRowHeight="14.25" x14ac:dyDescent="0.15"/>
  <cols>
    <col min="1" max="1" width="20.125" style="1" customWidth="1"/>
  </cols>
  <sheetData>
    <row r="1" spans="1:2" ht="15.75" customHeight="1" x14ac:dyDescent="0.25">
      <c r="A1" s="2" t="s">
        <v>0</v>
      </c>
    </row>
    <row r="2" spans="1:2" x14ac:dyDescent="0.15">
      <c r="A2" s="3">
        <v>3</v>
      </c>
      <c r="B2" s="10"/>
    </row>
    <row r="3" spans="1:2" ht="15.75" customHeight="1" x14ac:dyDescent="0.25">
      <c r="A3" s="2">
        <v>6</v>
      </c>
      <c r="B3" s="10"/>
    </row>
    <row r="4" spans="1:2" ht="15.75" customHeight="1" x14ac:dyDescent="0.25">
      <c r="A4" s="2">
        <v>10</v>
      </c>
      <c r="B4" s="10"/>
    </row>
    <row r="5" spans="1:2" ht="15.75" customHeight="1" x14ac:dyDescent="0.25">
      <c r="A5" s="2">
        <v>15</v>
      </c>
      <c r="B5" s="10"/>
    </row>
    <row r="6" spans="1:2" ht="15.75" customHeight="1" x14ac:dyDescent="0.25">
      <c r="A6" s="2">
        <v>20</v>
      </c>
      <c r="B6" s="10"/>
    </row>
    <row r="7" spans="1:2" ht="15.75" customHeight="1" x14ac:dyDescent="0.25">
      <c r="A7" s="2">
        <v>25</v>
      </c>
      <c r="B7" s="10"/>
    </row>
    <row r="8" spans="1:2" x14ac:dyDescent="0.15">
      <c r="A8" s="3">
        <v>30</v>
      </c>
      <c r="B8" s="10"/>
    </row>
    <row r="9" spans="1:2" ht="15.75" customHeight="1" x14ac:dyDescent="0.25">
      <c r="A9" s="2">
        <v>40</v>
      </c>
      <c r="B9" s="10"/>
    </row>
    <row r="10" spans="1:2" x14ac:dyDescent="0.15">
      <c r="A10" s="3">
        <v>45</v>
      </c>
      <c r="B10" s="10"/>
    </row>
    <row r="11" spans="1:2" x14ac:dyDescent="0.15">
      <c r="A11" s="3">
        <v>50</v>
      </c>
      <c r="B11" s="10"/>
    </row>
    <row r="12" spans="1:2" ht="15.75" customHeight="1" x14ac:dyDescent="0.25">
      <c r="A12" s="2">
        <v>60</v>
      </c>
      <c r="B12" s="10"/>
    </row>
    <row r="13" spans="1:2" ht="15.75" customHeight="1" x14ac:dyDescent="0.25">
      <c r="A13" s="2">
        <v>75</v>
      </c>
      <c r="B13" s="10"/>
    </row>
    <row r="14" spans="1:2" ht="15.75" customHeight="1" x14ac:dyDescent="0.25">
      <c r="A14" s="2">
        <v>80</v>
      </c>
      <c r="B14" s="10"/>
    </row>
    <row r="15" spans="1:2" ht="15.75" customHeight="1" x14ac:dyDescent="0.25">
      <c r="A15" s="2">
        <v>90</v>
      </c>
      <c r="B15" s="10"/>
    </row>
    <row r="16" spans="1:2" ht="15.75" customHeight="1" x14ac:dyDescent="0.25">
      <c r="A16" s="2">
        <v>100</v>
      </c>
      <c r="B16" s="10"/>
    </row>
    <row r="17" spans="1:2" ht="15.75" customHeight="1" x14ac:dyDescent="0.25">
      <c r="A17" s="2">
        <v>120</v>
      </c>
      <c r="B17" s="10"/>
    </row>
    <row r="18" spans="1:2" ht="15.75" customHeight="1" x14ac:dyDescent="0.25">
      <c r="A18" s="2">
        <v>125</v>
      </c>
      <c r="B18" s="10"/>
    </row>
    <row r="19" spans="1:2" ht="15.75" customHeight="1" x14ac:dyDescent="0.25">
      <c r="A19" s="2">
        <v>150</v>
      </c>
      <c r="B19" s="10"/>
    </row>
    <row r="20" spans="1:2" ht="15.75" customHeight="1" x14ac:dyDescent="0.25">
      <c r="A20" s="2">
        <v>180</v>
      </c>
      <c r="B20" s="10"/>
    </row>
    <row r="21" spans="1:2" ht="15.75" customHeight="1" x14ac:dyDescent="0.25">
      <c r="A21" s="2">
        <v>200</v>
      </c>
      <c r="B21" s="10"/>
    </row>
    <row r="22" spans="1:2" ht="15.75" customHeight="1" x14ac:dyDescent="0.25">
      <c r="A22" s="2">
        <v>250</v>
      </c>
      <c r="B22" s="10"/>
    </row>
    <row r="23" spans="1:2" ht="15.75" customHeight="1" x14ac:dyDescent="0.25">
      <c r="A23" s="2">
        <v>300</v>
      </c>
      <c r="B23" s="10"/>
    </row>
    <row r="24" spans="1:2" ht="15.75" customHeight="1" x14ac:dyDescent="0.25">
      <c r="A24" s="2">
        <v>350</v>
      </c>
      <c r="B24" s="10"/>
    </row>
    <row r="25" spans="1:2" ht="15.75" customHeight="1" x14ac:dyDescent="0.25">
      <c r="A25" s="2">
        <v>400</v>
      </c>
      <c r="B25" s="10"/>
    </row>
    <row r="26" spans="1:2" ht="15.75" customHeight="1" x14ac:dyDescent="0.25">
      <c r="A26" s="2">
        <v>450</v>
      </c>
      <c r="B26" s="10"/>
    </row>
    <row r="27" spans="1:2" ht="15.75" customHeight="1" x14ac:dyDescent="0.25">
      <c r="A27" s="2">
        <v>500</v>
      </c>
      <c r="B27" s="10"/>
    </row>
    <row r="28" spans="1:2" x14ac:dyDescent="0.15">
      <c r="A28" s="3">
        <v>550</v>
      </c>
      <c r="B28" s="10"/>
    </row>
    <row r="29" spans="1:2" x14ac:dyDescent="0.15">
      <c r="A29" s="3">
        <v>600</v>
      </c>
      <c r="B29" s="10"/>
    </row>
    <row r="30" spans="1:2" x14ac:dyDescent="0.15">
      <c r="A30" s="3">
        <v>650</v>
      </c>
      <c r="B30" s="10"/>
    </row>
    <row r="31" spans="1:2" ht="15.75" customHeight="1" x14ac:dyDescent="0.25">
      <c r="A31" s="2">
        <v>700</v>
      </c>
      <c r="B31" s="10"/>
    </row>
    <row r="32" spans="1:2" ht="15.75" customHeight="1" x14ac:dyDescent="0.25">
      <c r="A32" s="2">
        <v>750</v>
      </c>
      <c r="B32" s="10"/>
    </row>
    <row r="33" spans="1:2" ht="15.75" customHeight="1" x14ac:dyDescent="0.25">
      <c r="A33" s="2">
        <v>800</v>
      </c>
      <c r="B33" s="10"/>
    </row>
  </sheetData>
  <phoneticPr fontId="2" type="noConversion"/>
  <pageMargins left="0.74782315201646699" right="0.74782315201646699" top="0.75198932895510218" bottom="0.75198932895510218" header="0.49993747801292604" footer="0.49993747801292604"/>
  <pageSetup paperSize="9" firstPageNumber="4294967295" orientation="portrait" horizont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22"/>
  <sheetViews>
    <sheetView zoomScale="130" zoomScaleNormal="130" zoomScaleSheetLayoutView="100" workbookViewId="0">
      <selection activeCell="F28" sqref="F28"/>
    </sheetView>
  </sheetViews>
  <sheetFormatPr defaultRowHeight="14.25" x14ac:dyDescent="0.15"/>
  <cols>
    <col min="1" max="1" width="20.125" style="1" customWidth="1"/>
  </cols>
  <sheetData>
    <row r="1" spans="1:1" ht="15.75" customHeight="1" x14ac:dyDescent="0.25">
      <c r="A1" s="7" t="s">
        <v>3</v>
      </c>
    </row>
    <row r="2" spans="1:1" ht="15.75" customHeight="1" x14ac:dyDescent="0.25">
      <c r="A2" s="2">
        <v>16</v>
      </c>
    </row>
    <row r="3" spans="1:1" ht="15.75" customHeight="1" x14ac:dyDescent="0.25">
      <c r="A3" s="2">
        <v>20</v>
      </c>
    </row>
    <row r="4" spans="1:1" ht="15.75" customHeight="1" x14ac:dyDescent="0.25">
      <c r="A4" s="2">
        <v>32</v>
      </c>
    </row>
    <row r="5" spans="1:1" ht="15.75" customHeight="1" x14ac:dyDescent="0.25">
      <c r="A5" s="2">
        <v>40</v>
      </c>
    </row>
    <row r="6" spans="1:1" x14ac:dyDescent="0.15">
      <c r="A6" s="3">
        <v>50</v>
      </c>
    </row>
    <row r="7" spans="1:1" ht="15.75" customHeight="1" x14ac:dyDescent="0.25">
      <c r="A7" s="2">
        <v>63</v>
      </c>
    </row>
    <row r="8" spans="1:1" x14ac:dyDescent="0.15">
      <c r="A8" s="3">
        <v>80</v>
      </c>
    </row>
    <row r="9" spans="1:1" ht="15.75" customHeight="1" x14ac:dyDescent="0.25">
      <c r="A9" s="2">
        <v>100</v>
      </c>
    </row>
    <row r="10" spans="1:1" ht="15.75" customHeight="1" x14ac:dyDescent="0.25">
      <c r="A10" s="2">
        <v>160</v>
      </c>
    </row>
    <row r="11" spans="1:1" ht="15.75" customHeight="1" x14ac:dyDescent="0.25">
      <c r="A11" s="2">
        <v>200</v>
      </c>
    </row>
    <row r="12" spans="1:1" ht="15.75" customHeight="1" x14ac:dyDescent="0.25">
      <c r="A12" s="2">
        <v>250</v>
      </c>
    </row>
    <row r="13" spans="1:1" ht="15.75" customHeight="1" x14ac:dyDescent="0.25">
      <c r="A13" s="2">
        <v>320</v>
      </c>
    </row>
    <row r="14" spans="1:1" ht="15.75" customHeight="1" x14ac:dyDescent="0.25">
      <c r="A14" s="2">
        <v>400</v>
      </c>
    </row>
    <row r="15" spans="1:1" ht="15.75" customHeight="1" x14ac:dyDescent="0.25">
      <c r="A15" s="2">
        <v>500</v>
      </c>
    </row>
    <row r="16" spans="1:1" ht="15.75" customHeight="1" x14ac:dyDescent="0.25">
      <c r="A16" s="2">
        <v>630</v>
      </c>
    </row>
    <row r="17" spans="1:1" ht="15.75" customHeight="1" x14ac:dyDescent="0.25">
      <c r="A17" s="2">
        <v>800</v>
      </c>
    </row>
    <row r="18" spans="1:1" ht="15.75" customHeight="1" x14ac:dyDescent="0.25">
      <c r="A18" s="2">
        <v>1000</v>
      </c>
    </row>
    <row r="19" spans="1:1" ht="15.75" customHeight="1" x14ac:dyDescent="0.25">
      <c r="A19" s="2">
        <v>1250</v>
      </c>
    </row>
    <row r="20" spans="1:1" ht="15.75" customHeight="1" x14ac:dyDescent="0.25">
      <c r="A20" s="2">
        <v>1600</v>
      </c>
    </row>
    <row r="21" spans="1:1" ht="15.75" customHeight="1" x14ac:dyDescent="0.25">
      <c r="A21" s="2">
        <v>2000</v>
      </c>
    </row>
    <row r="22" spans="1:1" x14ac:dyDescent="0.15">
      <c r="A22" s="1">
        <v>2500</v>
      </c>
    </row>
  </sheetData>
  <autoFilter ref="A1:A21" xr:uid="{00000000-0009-0000-0000-000002000000}"/>
  <phoneticPr fontId="6" type="noConversion"/>
  <pageMargins left="0.74782315201646699" right="0.74782315201646699" top="0.75198932895510218" bottom="0.75198932895510218" header="0.49993747801292604" footer="0.49993747801292604"/>
  <pageSetup paperSize="9" firstPageNumber="4294967295" orientation="portrait" horizontalDpi="4294967293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P584"/>
  <sheetViews>
    <sheetView tabSelected="1" topLeftCell="A476" zoomScaleNormal="100" workbookViewId="0">
      <selection activeCell="H498" sqref="H498"/>
    </sheetView>
  </sheetViews>
  <sheetFormatPr defaultRowHeight="14.25" x14ac:dyDescent="0.15"/>
  <cols>
    <col min="1" max="1" width="10.5" style="5" bestFit="1" customWidth="1"/>
    <col min="2" max="2" width="8.875" style="4" bestFit="1" customWidth="1"/>
    <col min="3" max="8" width="6.5" style="4" bestFit="1" customWidth="1"/>
    <col min="9" max="12" width="7.5" style="4" bestFit="1" customWidth="1"/>
    <col min="13" max="14" width="8.5" style="4" bestFit="1" customWidth="1"/>
    <col min="15" max="15" width="8.5" bestFit="1" customWidth="1"/>
  </cols>
  <sheetData>
    <row r="1" spans="1:15" x14ac:dyDescent="0.15">
      <c r="A1" s="17" t="s">
        <v>38</v>
      </c>
      <c r="B1" s="18" t="s">
        <v>19</v>
      </c>
      <c r="C1" s="18" t="s">
        <v>23</v>
      </c>
      <c r="D1" s="18" t="s">
        <v>22</v>
      </c>
      <c r="E1" s="19" t="s">
        <v>31</v>
      </c>
      <c r="F1" s="20" t="s">
        <v>10</v>
      </c>
      <c r="G1" s="20" t="s">
        <v>11</v>
      </c>
      <c r="H1" s="20" t="s">
        <v>12</v>
      </c>
      <c r="I1" s="20" t="s">
        <v>13</v>
      </c>
      <c r="J1" s="20" t="s">
        <v>14</v>
      </c>
      <c r="K1" s="20" t="s">
        <v>15</v>
      </c>
      <c r="L1" s="20" t="s">
        <v>16</v>
      </c>
      <c r="M1" s="20" t="s">
        <v>17</v>
      </c>
      <c r="N1" s="20" t="s">
        <v>18</v>
      </c>
    </row>
    <row r="2" spans="1:15" x14ac:dyDescent="0.15">
      <c r="A2" s="8">
        <v>1.6</v>
      </c>
      <c r="B2" s="8">
        <v>440</v>
      </c>
      <c r="C2" s="8">
        <v>320</v>
      </c>
      <c r="D2" s="8">
        <v>248</v>
      </c>
      <c r="E2" s="9">
        <v>203.3</v>
      </c>
      <c r="F2" s="8">
        <v>150.6</v>
      </c>
      <c r="G2" s="8">
        <v>114.2</v>
      </c>
      <c r="H2" s="8">
        <v>86.3</v>
      </c>
      <c r="I2" s="8">
        <v>69.36</v>
      </c>
      <c r="J2" s="8">
        <v>55.5</v>
      </c>
      <c r="K2" s="8">
        <v>39.57</v>
      </c>
      <c r="L2" s="8">
        <v>26.48</v>
      </c>
      <c r="M2" s="8">
        <v>16.18</v>
      </c>
      <c r="N2" s="8">
        <v>8.25</v>
      </c>
    </row>
    <row r="3" spans="1:15" x14ac:dyDescent="0.15">
      <c r="A3" s="8">
        <v>1.65</v>
      </c>
      <c r="B3" s="8">
        <v>428</v>
      </c>
      <c r="C3" s="8">
        <v>315</v>
      </c>
      <c r="D3" s="8">
        <v>246</v>
      </c>
      <c r="E3" s="9">
        <v>199.9</v>
      </c>
      <c r="F3" s="8">
        <v>148.80000000000001</v>
      </c>
      <c r="G3" s="8">
        <v>112.2</v>
      </c>
      <c r="H3" s="8">
        <v>85.34</v>
      </c>
      <c r="I3" s="8">
        <v>68.69</v>
      </c>
      <c r="J3" s="8">
        <v>55.07</v>
      </c>
      <c r="K3" s="8">
        <v>39.36</v>
      </c>
      <c r="L3" s="8">
        <v>26.34</v>
      </c>
      <c r="M3" s="8">
        <v>16.04</v>
      </c>
      <c r="N3" s="8">
        <v>8.1999999999999993</v>
      </c>
    </row>
    <row r="4" spans="1:15" x14ac:dyDescent="0.15">
      <c r="A4" s="8">
        <v>1.7</v>
      </c>
      <c r="B4" s="8">
        <v>408</v>
      </c>
      <c r="C4" s="8">
        <v>307</v>
      </c>
      <c r="D4" s="8">
        <v>242</v>
      </c>
      <c r="E4" s="9">
        <v>196.3</v>
      </c>
      <c r="F4" s="8">
        <v>147.30000000000001</v>
      </c>
      <c r="G4" s="8">
        <v>110.8</v>
      </c>
      <c r="H4" s="8">
        <v>84.18</v>
      </c>
      <c r="I4" s="8">
        <v>68.3</v>
      </c>
      <c r="J4" s="8">
        <v>54.65</v>
      </c>
      <c r="K4" s="8">
        <v>39.21</v>
      </c>
      <c r="L4" s="8">
        <v>26.25</v>
      </c>
      <c r="M4" s="8">
        <v>15.92</v>
      </c>
      <c r="N4" s="8">
        <v>8.17</v>
      </c>
    </row>
    <row r="5" spans="1:15" x14ac:dyDescent="0.15">
      <c r="A5" s="8">
        <v>1.75</v>
      </c>
      <c r="B5" s="8">
        <v>376</v>
      </c>
      <c r="C5" s="8">
        <v>289</v>
      </c>
      <c r="D5" s="8">
        <v>234</v>
      </c>
      <c r="E5" s="9">
        <v>193.1</v>
      </c>
      <c r="F5" s="8">
        <v>145.1</v>
      </c>
      <c r="G5" s="8">
        <v>109.1</v>
      </c>
      <c r="H5" s="8">
        <v>82.95</v>
      </c>
      <c r="I5" s="8">
        <v>67.69</v>
      </c>
      <c r="J5" s="8">
        <v>53.99</v>
      </c>
      <c r="K5" s="8">
        <v>38.979999999999997</v>
      </c>
      <c r="L5" s="8">
        <v>26.13</v>
      </c>
      <c r="M5" s="8">
        <v>15.77</v>
      </c>
      <c r="N5" s="8">
        <v>8.14</v>
      </c>
    </row>
    <row r="6" spans="1:15" x14ac:dyDescent="0.15">
      <c r="A6" s="8">
        <v>1.8</v>
      </c>
      <c r="B6" s="8">
        <v>336.7</v>
      </c>
      <c r="C6" s="8">
        <v>269</v>
      </c>
      <c r="D6" s="8">
        <v>224</v>
      </c>
      <c r="E6" s="9">
        <v>187.3</v>
      </c>
      <c r="F6" s="8">
        <v>141.19999999999999</v>
      </c>
      <c r="G6" s="8">
        <v>106.9</v>
      </c>
      <c r="H6" s="8">
        <v>81.16</v>
      </c>
      <c r="I6" s="8">
        <v>66.900000000000006</v>
      </c>
      <c r="J6" s="8">
        <v>53.23</v>
      </c>
      <c r="K6" s="8">
        <v>38.659999999999997</v>
      </c>
      <c r="L6" s="8">
        <v>25.98</v>
      </c>
      <c r="M6" s="8">
        <v>15.6</v>
      </c>
      <c r="N6" s="8">
        <v>8.07</v>
      </c>
    </row>
    <row r="8" spans="1:15" s="35" customFormat="1" x14ac:dyDescent="0.15">
      <c r="A8" s="33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</row>
    <row r="9" spans="1:15" x14ac:dyDescent="0.15">
      <c r="A9" s="32" t="s">
        <v>39</v>
      </c>
      <c r="B9" s="32" t="s">
        <v>19</v>
      </c>
      <c r="C9" s="32" t="s">
        <v>23</v>
      </c>
      <c r="D9" s="32" t="s">
        <v>22</v>
      </c>
      <c r="E9" s="32" t="s">
        <v>31</v>
      </c>
      <c r="F9" s="32" t="s">
        <v>40</v>
      </c>
      <c r="G9" s="32" t="s">
        <v>41</v>
      </c>
      <c r="H9" s="32" t="s">
        <v>42</v>
      </c>
      <c r="I9" s="32" t="s">
        <v>43</v>
      </c>
      <c r="J9" s="32" t="s">
        <v>44</v>
      </c>
      <c r="K9" s="32" t="s">
        <v>45</v>
      </c>
      <c r="L9" s="32" t="s">
        <v>46</v>
      </c>
      <c r="M9" s="32" t="s">
        <v>47</v>
      </c>
      <c r="N9" s="32" t="s">
        <v>48</v>
      </c>
      <c r="O9" s="32" t="s">
        <v>49</v>
      </c>
    </row>
    <row r="10" spans="1:15" x14ac:dyDescent="0.15">
      <c r="A10" s="11">
        <v>1.85</v>
      </c>
      <c r="B10" s="9">
        <v>274.2</v>
      </c>
      <c r="C10" s="9">
        <v>206.5</v>
      </c>
      <c r="D10" s="9">
        <v>172.2</v>
      </c>
      <c r="E10" s="9">
        <v>146</v>
      </c>
      <c r="F10" s="9">
        <v>113.4</v>
      </c>
      <c r="G10" s="9">
        <v>74.900000000000006</v>
      </c>
      <c r="H10" s="9">
        <v>56.8</v>
      </c>
      <c r="I10" s="9">
        <v>45.8</v>
      </c>
      <c r="J10" s="9">
        <v>34.6</v>
      </c>
      <c r="K10" s="9">
        <v>27.7</v>
      </c>
      <c r="L10" s="9">
        <v>23.3</v>
      </c>
      <c r="M10" s="9">
        <v>16.100000000000001</v>
      </c>
      <c r="N10" s="9">
        <v>13.4</v>
      </c>
      <c r="O10" s="9">
        <v>7.44</v>
      </c>
    </row>
    <row r="11" spans="1:15" x14ac:dyDescent="0.15">
      <c r="A11" s="9">
        <v>1.8</v>
      </c>
      <c r="B11" s="9">
        <v>314.8</v>
      </c>
      <c r="C11" s="9">
        <v>240.6</v>
      </c>
      <c r="D11" s="9">
        <v>198.1</v>
      </c>
      <c r="E11" s="9">
        <v>166.7</v>
      </c>
      <c r="F11" s="9">
        <v>127.1</v>
      </c>
      <c r="G11" s="9">
        <v>82.3</v>
      </c>
      <c r="H11" s="9">
        <v>61.8</v>
      </c>
      <c r="I11" s="9">
        <v>49.6</v>
      </c>
      <c r="J11" s="9">
        <v>37.299999999999997</v>
      </c>
      <c r="K11" s="9">
        <v>29.8</v>
      </c>
      <c r="L11" s="9">
        <v>25</v>
      </c>
      <c r="M11" s="9">
        <v>17.2</v>
      </c>
      <c r="N11" s="9">
        <v>14.3</v>
      </c>
      <c r="O11" s="9">
        <v>7.85</v>
      </c>
    </row>
    <row r="12" spans="1:15" x14ac:dyDescent="0.15">
      <c r="A12" s="9">
        <v>1.75</v>
      </c>
      <c r="B12" s="9">
        <v>338.3</v>
      </c>
      <c r="C12" s="9">
        <v>254.9</v>
      </c>
      <c r="D12" s="9">
        <v>198.1</v>
      </c>
      <c r="E12" s="9">
        <v>173.2</v>
      </c>
      <c r="F12" s="9">
        <v>131.69999999999999</v>
      </c>
      <c r="G12" s="9">
        <v>84.8</v>
      </c>
      <c r="H12" s="9">
        <v>63.5</v>
      </c>
      <c r="I12" s="9">
        <v>50.8</v>
      </c>
      <c r="J12" s="9">
        <v>38.1</v>
      </c>
      <c r="K12" s="9">
        <v>30.4</v>
      </c>
      <c r="L12" s="9">
        <v>25.5</v>
      </c>
      <c r="M12" s="9">
        <v>17.5</v>
      </c>
      <c r="N12" s="9">
        <v>14.5</v>
      </c>
      <c r="O12" s="9">
        <v>7.94</v>
      </c>
    </row>
    <row r="13" spans="1:15" x14ac:dyDescent="0.15">
      <c r="A13" s="9">
        <v>1.7</v>
      </c>
      <c r="B13" s="9">
        <v>360.4</v>
      </c>
      <c r="C13" s="9">
        <v>268.3</v>
      </c>
      <c r="D13" s="9">
        <v>198.1</v>
      </c>
      <c r="E13" s="9">
        <v>180.4</v>
      </c>
      <c r="F13" s="9">
        <v>136.30000000000001</v>
      </c>
      <c r="G13" s="9">
        <v>87.3</v>
      </c>
      <c r="H13" s="9">
        <v>65.3</v>
      </c>
      <c r="I13" s="9">
        <v>52.2</v>
      </c>
      <c r="J13" s="9">
        <v>39</v>
      </c>
      <c r="K13" s="9">
        <v>31.1</v>
      </c>
      <c r="L13" s="9">
        <v>26</v>
      </c>
      <c r="M13" s="9">
        <v>17.7</v>
      </c>
      <c r="N13" s="9">
        <v>14.7</v>
      </c>
      <c r="O13" s="9">
        <v>8.0299999999999994</v>
      </c>
    </row>
    <row r="14" spans="1:15" x14ac:dyDescent="0.15">
      <c r="A14" s="9">
        <v>1.67</v>
      </c>
      <c r="B14" s="9">
        <v>372.7</v>
      </c>
      <c r="C14" s="9">
        <v>275.89999999999998</v>
      </c>
      <c r="D14" s="9">
        <v>198.1</v>
      </c>
      <c r="E14" s="9">
        <v>184.4</v>
      </c>
      <c r="F14" s="9">
        <v>139</v>
      </c>
      <c r="G14" s="9">
        <v>88.7</v>
      </c>
      <c r="H14" s="9">
        <v>66.2</v>
      </c>
      <c r="I14" s="9">
        <v>52.9</v>
      </c>
      <c r="J14" s="9">
        <v>39.5</v>
      </c>
      <c r="K14" s="9">
        <v>31.4</v>
      </c>
      <c r="L14" s="9">
        <v>26.3</v>
      </c>
      <c r="M14" s="9">
        <v>17.899999999999999</v>
      </c>
      <c r="N14" s="9">
        <v>14.8</v>
      </c>
      <c r="O14" s="9">
        <v>8.09</v>
      </c>
    </row>
    <row r="15" spans="1:15" x14ac:dyDescent="0.15">
      <c r="A15" s="9">
        <v>1.6</v>
      </c>
      <c r="B15" s="9">
        <v>400.4</v>
      </c>
      <c r="C15" s="9">
        <v>292.5</v>
      </c>
      <c r="D15" s="9">
        <v>198.1</v>
      </c>
      <c r="E15" s="9">
        <v>193.2</v>
      </c>
      <c r="F15" s="9">
        <v>145</v>
      </c>
      <c r="G15" s="9">
        <v>92.1</v>
      </c>
      <c r="H15" s="9">
        <v>68.599999999999994</v>
      </c>
      <c r="I15" s="9">
        <v>54.7</v>
      </c>
      <c r="J15" s="9">
        <v>40.700000000000003</v>
      </c>
      <c r="K15" s="9">
        <v>32.299999999999997</v>
      </c>
      <c r="L15" s="9">
        <v>27</v>
      </c>
      <c r="M15" s="9">
        <v>18.3</v>
      </c>
      <c r="N15" s="9">
        <v>15.1</v>
      </c>
      <c r="O15" s="9">
        <v>8.23</v>
      </c>
    </row>
    <row r="16" spans="1:15" s="35" customFormat="1" x14ac:dyDescent="0.1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x14ac:dyDescent="0.15">
      <c r="A17" s="32" t="s">
        <v>50</v>
      </c>
      <c r="B17" s="32" t="s">
        <v>60</v>
      </c>
      <c r="C17" s="32" t="s">
        <v>61</v>
      </c>
      <c r="D17" s="32" t="s">
        <v>22</v>
      </c>
      <c r="E17" s="32" t="s">
        <v>31</v>
      </c>
      <c r="F17" s="32" t="s">
        <v>62</v>
      </c>
      <c r="G17" s="32" t="s">
        <v>63</v>
      </c>
      <c r="H17" s="32" t="s">
        <v>64</v>
      </c>
      <c r="I17" s="32" t="s">
        <v>65</v>
      </c>
      <c r="J17" s="32" t="s">
        <v>66</v>
      </c>
      <c r="K17" s="32" t="s">
        <v>67</v>
      </c>
      <c r="L17" s="32" t="s">
        <v>68</v>
      </c>
      <c r="M17" s="32" t="s">
        <v>69</v>
      </c>
      <c r="N17" s="32" t="s">
        <v>70</v>
      </c>
    </row>
    <row r="18" spans="1:14" x14ac:dyDescent="0.15">
      <c r="A18" s="8">
        <v>1.6</v>
      </c>
      <c r="B18" s="8">
        <v>542.4</v>
      </c>
      <c r="C18" s="8">
        <v>405.1</v>
      </c>
      <c r="D18" s="8">
        <v>315.8</v>
      </c>
      <c r="E18" s="9">
        <v>261.5</v>
      </c>
      <c r="F18" s="8">
        <v>195.8</v>
      </c>
      <c r="G18" s="8">
        <v>145</v>
      </c>
      <c r="H18" s="8">
        <v>114.2</v>
      </c>
      <c r="I18" s="8">
        <v>84.5</v>
      </c>
      <c r="J18" s="8">
        <v>66.900000000000006</v>
      </c>
      <c r="K18" s="8">
        <v>48.5</v>
      </c>
      <c r="L18" s="8">
        <v>32</v>
      </c>
      <c r="M18" s="8">
        <v>18.8</v>
      </c>
      <c r="N18" s="8">
        <v>10.4</v>
      </c>
    </row>
    <row r="19" spans="1:14" x14ac:dyDescent="0.15">
      <c r="A19" s="8">
        <v>1.65</v>
      </c>
      <c r="B19" s="8">
        <v>518.4</v>
      </c>
      <c r="C19" s="8">
        <v>393.6</v>
      </c>
      <c r="D19" s="8">
        <v>310.10000000000002</v>
      </c>
      <c r="E19" s="9">
        <v>256.2</v>
      </c>
      <c r="F19" s="8">
        <v>193</v>
      </c>
      <c r="G19" s="8">
        <v>141.69999999999999</v>
      </c>
      <c r="H19" s="8">
        <v>113</v>
      </c>
      <c r="I19" s="8">
        <v>83.6</v>
      </c>
      <c r="J19" s="8">
        <v>66.400000000000006</v>
      </c>
      <c r="K19" s="8">
        <v>48.1</v>
      </c>
      <c r="L19" s="8">
        <v>31.8</v>
      </c>
      <c r="M19" s="8">
        <v>18.600000000000001</v>
      </c>
      <c r="N19" s="8">
        <v>10.3</v>
      </c>
    </row>
    <row r="20" spans="1:14" x14ac:dyDescent="0.15">
      <c r="A20" s="8">
        <v>1.7</v>
      </c>
      <c r="B20" s="8">
        <v>488.6</v>
      </c>
      <c r="C20" s="8">
        <v>378.2</v>
      </c>
      <c r="D20" s="8">
        <v>302.39999999999998</v>
      </c>
      <c r="E20" s="9">
        <v>251</v>
      </c>
      <c r="F20" s="8">
        <v>189.1</v>
      </c>
      <c r="G20" s="8">
        <v>138.69999999999999</v>
      </c>
      <c r="H20" s="8">
        <v>111.4</v>
      </c>
      <c r="I20" s="8">
        <v>82.7</v>
      </c>
      <c r="J20" s="8">
        <v>65.7</v>
      </c>
      <c r="K20" s="8">
        <v>47.7</v>
      </c>
      <c r="L20" s="8">
        <v>31.6</v>
      </c>
      <c r="M20" s="8">
        <v>18.399999999999999</v>
      </c>
      <c r="N20" s="8">
        <v>10.3</v>
      </c>
    </row>
    <row r="21" spans="1:14" x14ac:dyDescent="0.15">
      <c r="A21" s="8">
        <v>1.75</v>
      </c>
      <c r="B21" s="8">
        <v>448.3</v>
      </c>
      <c r="C21" s="8">
        <v>357.1</v>
      </c>
      <c r="D21" s="8">
        <v>291.8</v>
      </c>
      <c r="E21" s="9">
        <v>243.5</v>
      </c>
      <c r="F21" s="8">
        <v>184.3</v>
      </c>
      <c r="G21" s="8">
        <v>135.80000000000001</v>
      </c>
      <c r="H21" s="8">
        <v>109</v>
      </c>
      <c r="I21" s="8">
        <v>81.7</v>
      </c>
      <c r="J21" s="8">
        <v>65</v>
      </c>
      <c r="K21" s="8">
        <v>47.3</v>
      </c>
      <c r="L21" s="8">
        <v>31.3</v>
      </c>
      <c r="M21" s="8">
        <v>18.2</v>
      </c>
      <c r="N21" s="8">
        <v>10.199999999999999</v>
      </c>
    </row>
    <row r="22" spans="1:14" x14ac:dyDescent="0.15">
      <c r="A22" s="8">
        <v>1.8</v>
      </c>
      <c r="B22" s="8">
        <v>411.8</v>
      </c>
      <c r="C22" s="8">
        <v>333</v>
      </c>
      <c r="D22" s="8">
        <v>278.39999999999998</v>
      </c>
      <c r="E22" s="9">
        <v>234.2</v>
      </c>
      <c r="F22" s="8">
        <v>178.6</v>
      </c>
      <c r="G22" s="8">
        <v>133.4</v>
      </c>
      <c r="H22" s="8">
        <v>106.6</v>
      </c>
      <c r="I22" s="8">
        <v>80.2</v>
      </c>
      <c r="J22" s="8">
        <v>63.8</v>
      </c>
      <c r="K22" s="8">
        <v>46.6</v>
      </c>
      <c r="L22" s="8">
        <v>31</v>
      </c>
      <c r="M22" s="8">
        <v>18</v>
      </c>
      <c r="N22" s="8">
        <v>10</v>
      </c>
    </row>
    <row r="24" spans="1:14" s="35" customFormat="1" x14ac:dyDescent="0.15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</row>
    <row r="25" spans="1:14" x14ac:dyDescent="0.15">
      <c r="A25" s="32" t="s">
        <v>51</v>
      </c>
      <c r="B25" s="32" t="s">
        <v>19</v>
      </c>
      <c r="C25" s="32" t="s">
        <v>23</v>
      </c>
      <c r="D25" s="32" t="s">
        <v>22</v>
      </c>
      <c r="E25" s="32" t="s">
        <v>31</v>
      </c>
      <c r="F25" s="32" t="s">
        <v>40</v>
      </c>
      <c r="G25" s="32" t="s">
        <v>71</v>
      </c>
      <c r="H25" s="32" t="s">
        <v>41</v>
      </c>
      <c r="I25" s="32" t="s">
        <v>72</v>
      </c>
      <c r="J25" s="32" t="s">
        <v>43</v>
      </c>
      <c r="K25" s="32" t="s">
        <v>73</v>
      </c>
      <c r="L25" s="32" t="s">
        <v>74</v>
      </c>
      <c r="M25" s="32" t="s">
        <v>75</v>
      </c>
      <c r="N25" s="32" t="s">
        <v>76</v>
      </c>
    </row>
    <row r="26" spans="1:14" x14ac:dyDescent="0.15">
      <c r="A26" s="9">
        <v>1.6</v>
      </c>
      <c r="B26" s="9">
        <v>615</v>
      </c>
      <c r="C26" s="9">
        <v>470</v>
      </c>
      <c r="D26" s="9">
        <v>370</v>
      </c>
      <c r="E26" s="9">
        <v>301.8</v>
      </c>
      <c r="F26" s="9">
        <v>237</v>
      </c>
      <c r="G26" s="9">
        <v>177</v>
      </c>
      <c r="H26" s="9">
        <v>134.5</v>
      </c>
      <c r="I26" s="9">
        <v>105</v>
      </c>
      <c r="J26" s="9">
        <v>82.79</v>
      </c>
      <c r="K26" s="9">
        <v>61.4</v>
      </c>
      <c r="L26" s="9">
        <v>40.31</v>
      </c>
      <c r="M26" s="9">
        <v>24.84</v>
      </c>
      <c r="N26" s="9">
        <v>13.14</v>
      </c>
    </row>
    <row r="27" spans="1:14" x14ac:dyDescent="0.15">
      <c r="A27" s="9">
        <v>1.65</v>
      </c>
      <c r="B27" s="9">
        <v>610</v>
      </c>
      <c r="C27" s="9">
        <v>465</v>
      </c>
      <c r="D27" s="9">
        <v>365</v>
      </c>
      <c r="E27" s="9">
        <v>296.7</v>
      </c>
      <c r="F27" s="9">
        <v>232.4</v>
      </c>
      <c r="G27" s="9">
        <v>174.9</v>
      </c>
      <c r="H27" s="9">
        <v>131.69999999999999</v>
      </c>
      <c r="I27" s="9">
        <v>104</v>
      </c>
      <c r="J27" s="9">
        <v>81.86</v>
      </c>
      <c r="K27" s="9">
        <v>60.75</v>
      </c>
      <c r="L27" s="9">
        <v>39.79</v>
      </c>
      <c r="M27" s="9">
        <v>24.6</v>
      </c>
      <c r="N27" s="9">
        <v>12.94</v>
      </c>
    </row>
    <row r="28" spans="1:14" x14ac:dyDescent="0.15">
      <c r="A28" s="9">
        <v>1.7</v>
      </c>
      <c r="B28" s="9">
        <v>590.4</v>
      </c>
      <c r="C28" s="9">
        <v>455</v>
      </c>
      <c r="D28" s="9">
        <v>357</v>
      </c>
      <c r="E28" s="9">
        <v>290.5</v>
      </c>
      <c r="F28" s="9">
        <v>227.3</v>
      </c>
      <c r="G28" s="9">
        <v>171.5</v>
      </c>
      <c r="H28" s="9">
        <v>128.9</v>
      </c>
      <c r="I28" s="9">
        <v>103</v>
      </c>
      <c r="J28" s="9">
        <v>80.930000000000007</v>
      </c>
      <c r="K28" s="9">
        <v>60.15</v>
      </c>
      <c r="L28" s="9">
        <v>39.479999999999997</v>
      </c>
      <c r="M28" s="9">
        <v>24.41</v>
      </c>
      <c r="N28" s="9">
        <v>12.83</v>
      </c>
    </row>
    <row r="29" spans="1:14" x14ac:dyDescent="0.15">
      <c r="A29" s="9">
        <v>1.75</v>
      </c>
      <c r="B29" s="9">
        <v>540</v>
      </c>
      <c r="C29" s="9">
        <v>425</v>
      </c>
      <c r="D29" s="9">
        <v>342</v>
      </c>
      <c r="E29" s="9">
        <v>282.60000000000002</v>
      </c>
      <c r="F29" s="9">
        <v>221.7</v>
      </c>
      <c r="G29" s="9">
        <v>168.1</v>
      </c>
      <c r="H29" s="9">
        <v>126.5</v>
      </c>
      <c r="I29" s="9">
        <v>101.4</v>
      </c>
      <c r="J29" s="9">
        <v>80.150000000000006</v>
      </c>
      <c r="K29" s="9">
        <v>59.6</v>
      </c>
      <c r="L29" s="9">
        <v>39.020000000000003</v>
      </c>
      <c r="M29" s="9">
        <v>24.2</v>
      </c>
      <c r="N29" s="9">
        <v>12.65</v>
      </c>
    </row>
    <row r="30" spans="1:14" x14ac:dyDescent="0.15">
      <c r="A30" s="9">
        <v>1.8</v>
      </c>
      <c r="B30" s="9">
        <v>460</v>
      </c>
      <c r="C30" s="9">
        <v>387</v>
      </c>
      <c r="D30" s="9">
        <v>320</v>
      </c>
      <c r="E30" s="9">
        <v>269.10000000000002</v>
      </c>
      <c r="F30" s="9">
        <v>215</v>
      </c>
      <c r="G30" s="9">
        <v>163</v>
      </c>
      <c r="H30" s="9">
        <v>123.2</v>
      </c>
      <c r="I30" s="9">
        <v>99</v>
      </c>
      <c r="J30" s="9">
        <v>78.7</v>
      </c>
      <c r="K30" s="9">
        <v>58.45</v>
      </c>
      <c r="L30" s="9">
        <v>38.5</v>
      </c>
      <c r="M30" s="9">
        <v>23.9</v>
      </c>
      <c r="N30" s="9">
        <v>12.46</v>
      </c>
    </row>
    <row r="32" spans="1:14" s="35" customFormat="1" x14ac:dyDescent="0.1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</row>
    <row r="33" spans="1:15" x14ac:dyDescent="0.15">
      <c r="A33" s="32" t="s">
        <v>52</v>
      </c>
      <c r="B33" s="32" t="s">
        <v>19</v>
      </c>
      <c r="C33" s="32" t="s">
        <v>23</v>
      </c>
      <c r="D33" s="32" t="s">
        <v>22</v>
      </c>
      <c r="E33" s="32" t="s">
        <v>31</v>
      </c>
      <c r="F33" s="32" t="s">
        <v>40</v>
      </c>
      <c r="G33" s="32" t="s">
        <v>41</v>
      </c>
      <c r="H33" s="32" t="s">
        <v>42</v>
      </c>
      <c r="I33" s="32" t="s">
        <v>43</v>
      </c>
      <c r="J33" s="32" t="s">
        <v>44</v>
      </c>
      <c r="K33" s="32" t="s">
        <v>45</v>
      </c>
      <c r="L33" s="32" t="s">
        <v>46</v>
      </c>
      <c r="M33" s="32" t="s">
        <v>47</v>
      </c>
      <c r="N33" s="32" t="s">
        <v>48</v>
      </c>
      <c r="O33" s="32" t="s">
        <v>49</v>
      </c>
    </row>
    <row r="34" spans="1:15" x14ac:dyDescent="0.15">
      <c r="A34" s="11">
        <v>1.85</v>
      </c>
      <c r="B34" s="9">
        <v>411.3</v>
      </c>
      <c r="C34" s="9">
        <v>309.8</v>
      </c>
      <c r="D34" s="9">
        <v>258.2</v>
      </c>
      <c r="E34" s="9">
        <v>219.1</v>
      </c>
      <c r="F34" s="9">
        <v>170.1</v>
      </c>
      <c r="G34" s="9">
        <v>112.3</v>
      </c>
      <c r="H34" s="9">
        <v>85.3</v>
      </c>
      <c r="I34" s="9">
        <v>68.7</v>
      </c>
      <c r="J34" s="9">
        <v>51.9</v>
      </c>
      <c r="K34" s="9">
        <v>41.6</v>
      </c>
      <c r="L34" s="9">
        <v>35</v>
      </c>
      <c r="M34" s="9">
        <v>24.1</v>
      </c>
      <c r="N34" s="9">
        <v>20.2</v>
      </c>
      <c r="O34" s="9">
        <v>11.2</v>
      </c>
    </row>
    <row r="35" spans="1:15" x14ac:dyDescent="0.15">
      <c r="A35" s="9">
        <v>1.8</v>
      </c>
      <c r="B35" s="9">
        <v>472.2</v>
      </c>
      <c r="C35" s="9">
        <v>360.9</v>
      </c>
      <c r="D35" s="9">
        <v>297.2</v>
      </c>
      <c r="E35" s="9">
        <v>250</v>
      </c>
      <c r="F35" s="9">
        <v>190.7</v>
      </c>
      <c r="G35" s="9">
        <v>123.5</v>
      </c>
      <c r="H35" s="9">
        <v>92.7</v>
      </c>
      <c r="I35" s="9">
        <v>74.400000000000006</v>
      </c>
      <c r="J35" s="9">
        <v>55.9</v>
      </c>
      <c r="K35" s="9">
        <v>44.7</v>
      </c>
      <c r="L35" s="9">
        <v>37.5</v>
      </c>
      <c r="M35" s="9">
        <v>25.8</v>
      </c>
      <c r="N35" s="9">
        <v>21.5</v>
      </c>
      <c r="O35" s="9">
        <v>11.8</v>
      </c>
    </row>
    <row r="36" spans="1:15" x14ac:dyDescent="0.15">
      <c r="A36" s="9">
        <v>1.75</v>
      </c>
      <c r="B36" s="9">
        <v>507.4</v>
      </c>
      <c r="C36" s="9">
        <v>382.3</v>
      </c>
      <c r="D36" s="9">
        <v>311.10000000000002</v>
      </c>
      <c r="E36" s="9">
        <v>259.8</v>
      </c>
      <c r="F36" s="9">
        <v>197.6</v>
      </c>
      <c r="G36" s="9">
        <v>127.2</v>
      </c>
      <c r="H36" s="9">
        <v>95.3</v>
      </c>
      <c r="I36" s="9">
        <v>76.2</v>
      </c>
      <c r="J36" s="9">
        <v>57.2</v>
      </c>
      <c r="K36" s="9">
        <v>45.7</v>
      </c>
      <c r="L36" s="9">
        <v>38.299999999999997</v>
      </c>
      <c r="M36" s="9">
        <v>26.2</v>
      </c>
      <c r="N36" s="9">
        <v>21.8</v>
      </c>
      <c r="O36" s="9">
        <v>11.9</v>
      </c>
    </row>
    <row r="37" spans="1:15" x14ac:dyDescent="0.15">
      <c r="A37" s="9">
        <v>1.7</v>
      </c>
      <c r="B37" s="9">
        <v>540.6</v>
      </c>
      <c r="C37" s="9">
        <v>402.4</v>
      </c>
      <c r="D37" s="9">
        <v>325.10000000000002</v>
      </c>
      <c r="E37" s="9">
        <v>270.7</v>
      </c>
      <c r="F37" s="9">
        <v>204.4</v>
      </c>
      <c r="G37" s="9">
        <v>130.9</v>
      </c>
      <c r="H37" s="9">
        <v>97.9</v>
      </c>
      <c r="I37" s="9">
        <v>78.3</v>
      </c>
      <c r="J37" s="9">
        <v>58.6</v>
      </c>
      <c r="K37" s="9">
        <v>46.6</v>
      </c>
      <c r="L37" s="9">
        <v>39</v>
      </c>
      <c r="M37" s="9">
        <v>26.6</v>
      </c>
      <c r="N37" s="9">
        <v>22.1</v>
      </c>
      <c r="O37" s="9">
        <v>12.1</v>
      </c>
    </row>
    <row r="38" spans="1:15" x14ac:dyDescent="0.15">
      <c r="A38" s="9">
        <v>1.67</v>
      </c>
      <c r="B38" s="9">
        <v>559</v>
      </c>
      <c r="C38" s="9">
        <v>413.9</v>
      </c>
      <c r="D38" s="9">
        <v>336.2</v>
      </c>
      <c r="E38" s="9">
        <v>276.60000000000002</v>
      </c>
      <c r="F38" s="9">
        <v>208.5</v>
      </c>
      <c r="G38" s="9">
        <v>133</v>
      </c>
      <c r="H38" s="9">
        <v>99.3</v>
      </c>
      <c r="I38" s="9">
        <v>79.3</v>
      </c>
      <c r="J38" s="9">
        <v>59.3</v>
      </c>
      <c r="K38" s="9">
        <v>47.2</v>
      </c>
      <c r="L38" s="9">
        <v>39.4</v>
      </c>
      <c r="M38" s="9">
        <v>26.9</v>
      </c>
      <c r="N38" s="9">
        <v>22.3</v>
      </c>
      <c r="O38" s="9">
        <v>12.1</v>
      </c>
    </row>
    <row r="39" spans="1:15" x14ac:dyDescent="0.15">
      <c r="A39" s="9">
        <v>1.6</v>
      </c>
      <c r="B39" s="9">
        <v>600.6</v>
      </c>
      <c r="C39" s="9">
        <v>438.7</v>
      </c>
      <c r="D39" s="9">
        <v>350.7</v>
      </c>
      <c r="E39" s="9">
        <v>289.89999999999998</v>
      </c>
      <c r="F39" s="9">
        <v>217.4</v>
      </c>
      <c r="G39" s="9">
        <v>138.19999999999999</v>
      </c>
      <c r="H39" s="9">
        <v>102.9</v>
      </c>
      <c r="I39" s="9">
        <v>82</v>
      </c>
      <c r="J39" s="9">
        <v>61.1</v>
      </c>
      <c r="K39" s="9">
        <v>48.5</v>
      </c>
      <c r="L39" s="9">
        <v>40.5</v>
      </c>
      <c r="M39" s="9">
        <v>27.4</v>
      </c>
      <c r="N39" s="9">
        <v>22.7</v>
      </c>
      <c r="O39" s="9">
        <v>12.3</v>
      </c>
    </row>
    <row r="40" spans="1:15" s="35" customFormat="1" x14ac:dyDescent="0.15">
      <c r="A40" s="33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</row>
    <row r="41" spans="1:15" x14ac:dyDescent="0.15">
      <c r="A41" s="32" t="s">
        <v>53</v>
      </c>
      <c r="B41" s="32" t="s">
        <v>19</v>
      </c>
      <c r="C41" s="32" t="s">
        <v>23</v>
      </c>
      <c r="D41" s="32" t="s">
        <v>22</v>
      </c>
      <c r="E41" s="32" t="s">
        <v>31</v>
      </c>
      <c r="F41" s="32" t="s">
        <v>40</v>
      </c>
      <c r="G41" s="32" t="s">
        <v>71</v>
      </c>
      <c r="H41" s="32" t="s">
        <v>41</v>
      </c>
      <c r="I41" s="32" t="s">
        <v>72</v>
      </c>
      <c r="J41" s="32" t="s">
        <v>43</v>
      </c>
      <c r="K41" s="32" t="s">
        <v>73</v>
      </c>
      <c r="L41" s="32" t="s">
        <v>74</v>
      </c>
      <c r="M41" s="32" t="s">
        <v>75</v>
      </c>
      <c r="N41" s="32" t="s">
        <v>76</v>
      </c>
    </row>
    <row r="42" spans="1:15" x14ac:dyDescent="0.15">
      <c r="A42" s="9">
        <v>1.6</v>
      </c>
      <c r="B42" s="9">
        <v>760</v>
      </c>
      <c r="C42" s="9">
        <v>560</v>
      </c>
      <c r="D42" s="9">
        <v>450.5</v>
      </c>
      <c r="E42" s="9">
        <v>333.9</v>
      </c>
      <c r="F42" s="9">
        <v>275.39999999999998</v>
      </c>
      <c r="G42" s="9">
        <v>202</v>
      </c>
      <c r="H42" s="9">
        <v>157.4</v>
      </c>
      <c r="I42" s="9">
        <v>132.9</v>
      </c>
      <c r="J42" s="9">
        <v>104.5</v>
      </c>
      <c r="K42" s="9">
        <v>76.84</v>
      </c>
      <c r="L42" s="9">
        <v>49.45</v>
      </c>
      <c r="M42" s="9">
        <v>30.85</v>
      </c>
      <c r="N42" s="9">
        <v>15.9</v>
      </c>
    </row>
    <row r="43" spans="1:15" x14ac:dyDescent="0.15">
      <c r="A43" s="9">
        <v>1.65</v>
      </c>
      <c r="B43" s="9">
        <v>742</v>
      </c>
      <c r="C43" s="9">
        <v>546.6</v>
      </c>
      <c r="D43" s="9">
        <v>439.1</v>
      </c>
      <c r="E43" s="9">
        <v>325.3</v>
      </c>
      <c r="F43" s="9">
        <v>267.89999999999998</v>
      </c>
      <c r="G43" s="9">
        <v>197.1</v>
      </c>
      <c r="H43" s="9">
        <v>154.69999999999999</v>
      </c>
      <c r="I43" s="9">
        <v>130.5</v>
      </c>
      <c r="J43" s="9">
        <v>103</v>
      </c>
      <c r="K43" s="9">
        <v>76.08</v>
      </c>
      <c r="L43" s="9">
        <v>49</v>
      </c>
      <c r="M43" s="9">
        <v>30.73</v>
      </c>
      <c r="N43" s="9">
        <v>15.87</v>
      </c>
    </row>
    <row r="44" spans="1:15" x14ac:dyDescent="0.15">
      <c r="A44" s="9">
        <v>1.7</v>
      </c>
      <c r="B44" s="9">
        <v>705</v>
      </c>
      <c r="C44" s="9">
        <v>528.6</v>
      </c>
      <c r="D44" s="9">
        <v>424.1</v>
      </c>
      <c r="E44" s="9">
        <v>315.3</v>
      </c>
      <c r="F44" s="9">
        <v>261.39999999999998</v>
      </c>
      <c r="G44" s="9">
        <v>192.6</v>
      </c>
      <c r="H44" s="9">
        <v>151.9</v>
      </c>
      <c r="I44" s="9">
        <v>129</v>
      </c>
      <c r="J44" s="9">
        <v>101.7</v>
      </c>
      <c r="K44" s="9">
        <v>75.39</v>
      </c>
      <c r="L44" s="9">
        <v>48.56</v>
      </c>
      <c r="M44" s="9">
        <v>30.59</v>
      </c>
      <c r="N44" s="9">
        <v>15.82</v>
      </c>
    </row>
    <row r="45" spans="1:15" x14ac:dyDescent="0.15">
      <c r="A45" s="9">
        <v>1.75</v>
      </c>
      <c r="B45" s="9">
        <v>655</v>
      </c>
      <c r="C45" s="9">
        <v>504</v>
      </c>
      <c r="D45" s="9">
        <v>407.9</v>
      </c>
      <c r="E45" s="9">
        <v>303.7</v>
      </c>
      <c r="F45" s="9">
        <v>252.3</v>
      </c>
      <c r="G45" s="9">
        <v>188.7</v>
      </c>
      <c r="H45" s="9">
        <v>148.1</v>
      </c>
      <c r="I45" s="9">
        <v>126.6</v>
      </c>
      <c r="J45" s="9">
        <v>100</v>
      </c>
      <c r="K45" s="9">
        <v>74.680000000000007</v>
      </c>
      <c r="L45" s="9">
        <v>48.12</v>
      </c>
      <c r="M45" s="9">
        <v>30.45</v>
      </c>
      <c r="N45" s="9">
        <v>15.76</v>
      </c>
    </row>
    <row r="46" spans="1:15" x14ac:dyDescent="0.15">
      <c r="A46" s="9">
        <v>1.8</v>
      </c>
      <c r="B46" s="9">
        <v>589</v>
      </c>
      <c r="C46" s="9">
        <v>472.3</v>
      </c>
      <c r="D46" s="9">
        <v>387.9</v>
      </c>
      <c r="E46" s="9">
        <v>290.7</v>
      </c>
      <c r="F46" s="9">
        <v>244.1</v>
      </c>
      <c r="G46" s="9">
        <v>183.3</v>
      </c>
      <c r="H46" s="9">
        <v>143.30000000000001</v>
      </c>
      <c r="I46" s="9">
        <v>123.3</v>
      </c>
      <c r="J46" s="9">
        <v>98.5</v>
      </c>
      <c r="K46" s="9">
        <v>73.58</v>
      </c>
      <c r="L46" s="9">
        <v>47.5</v>
      </c>
      <c r="M46" s="9">
        <v>30.23</v>
      </c>
      <c r="N46" s="9">
        <v>15.63</v>
      </c>
    </row>
    <row r="48" spans="1:15" s="35" customFormat="1" x14ac:dyDescent="0.15">
      <c r="A48" s="33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</row>
    <row r="49" spans="1:15" x14ac:dyDescent="0.15">
      <c r="A49" s="32" t="s">
        <v>54</v>
      </c>
      <c r="B49" s="32" t="s">
        <v>19</v>
      </c>
      <c r="C49" s="32" t="s">
        <v>23</v>
      </c>
      <c r="D49" s="32" t="s">
        <v>22</v>
      </c>
      <c r="E49" s="32" t="s">
        <v>31</v>
      </c>
      <c r="F49" s="32" t="s">
        <v>40</v>
      </c>
      <c r="G49" s="32" t="s">
        <v>41</v>
      </c>
      <c r="H49" s="32" t="s">
        <v>42</v>
      </c>
      <c r="I49" s="32" t="s">
        <v>43</v>
      </c>
      <c r="J49" s="32" t="s">
        <v>44</v>
      </c>
      <c r="K49" s="32" t="s">
        <v>45</v>
      </c>
      <c r="L49" s="32" t="s">
        <v>46</v>
      </c>
      <c r="M49" s="32" t="s">
        <v>47</v>
      </c>
      <c r="N49" s="32" t="s">
        <v>48</v>
      </c>
      <c r="O49" s="32" t="s">
        <v>49</v>
      </c>
    </row>
    <row r="50" spans="1:15" x14ac:dyDescent="0.15">
      <c r="A50" s="11">
        <v>1.85</v>
      </c>
      <c r="B50" s="9">
        <v>514.1</v>
      </c>
      <c r="C50" s="9">
        <v>387.3</v>
      </c>
      <c r="D50" s="9">
        <v>322.8</v>
      </c>
      <c r="E50" s="9">
        <v>273.8</v>
      </c>
      <c r="F50" s="9">
        <v>212.6</v>
      </c>
      <c r="G50" s="9">
        <v>140.4</v>
      </c>
      <c r="H50" s="9">
        <v>106.6</v>
      </c>
      <c r="I50" s="9">
        <v>85.9</v>
      </c>
      <c r="J50" s="9">
        <v>64.900000000000006</v>
      </c>
      <c r="K50" s="9">
        <v>52</v>
      </c>
      <c r="L50" s="9">
        <v>43.7</v>
      </c>
      <c r="M50" s="9">
        <v>30.2</v>
      </c>
      <c r="N50" s="9">
        <v>25.2</v>
      </c>
      <c r="O50" s="9">
        <v>14</v>
      </c>
    </row>
    <row r="51" spans="1:15" x14ac:dyDescent="0.15">
      <c r="A51" s="9">
        <v>1.8</v>
      </c>
      <c r="B51" s="9">
        <v>590.20000000000005</v>
      </c>
      <c r="C51" s="9">
        <v>451.1</v>
      </c>
      <c r="D51" s="9">
        <v>371.4</v>
      </c>
      <c r="E51" s="9">
        <v>312.5</v>
      </c>
      <c r="F51" s="9">
        <v>238.3</v>
      </c>
      <c r="G51" s="9">
        <v>154.4</v>
      </c>
      <c r="H51" s="9">
        <v>115.9</v>
      </c>
      <c r="I51" s="9">
        <v>93</v>
      </c>
      <c r="J51" s="9">
        <v>69.900000000000006</v>
      </c>
      <c r="K51" s="9">
        <v>55.9</v>
      </c>
      <c r="L51" s="9">
        <v>46.9</v>
      </c>
      <c r="M51" s="9">
        <v>32.200000000000003</v>
      </c>
      <c r="N51" s="9">
        <v>26.9</v>
      </c>
      <c r="O51" s="9">
        <v>14.7</v>
      </c>
    </row>
    <row r="52" spans="1:15" x14ac:dyDescent="0.15">
      <c r="A52" s="9">
        <v>1.75</v>
      </c>
      <c r="B52" s="9">
        <v>634.20000000000005</v>
      </c>
      <c r="C52" s="9">
        <v>477.9</v>
      </c>
      <c r="D52" s="9">
        <v>388.8</v>
      </c>
      <c r="E52" s="9">
        <v>324.7</v>
      </c>
      <c r="F52" s="9">
        <v>247</v>
      </c>
      <c r="G52" s="9">
        <v>158.9</v>
      </c>
      <c r="H52" s="9">
        <v>119.1</v>
      </c>
      <c r="I52" s="9">
        <v>95.3</v>
      </c>
      <c r="J52" s="9">
        <v>71.5</v>
      </c>
      <c r="K52" s="9">
        <v>57.1</v>
      </c>
      <c r="L52" s="9">
        <v>47.8</v>
      </c>
      <c r="M52" s="9">
        <v>32.799999999999997</v>
      </c>
      <c r="N52" s="9">
        <v>27.2</v>
      </c>
      <c r="O52" s="9">
        <v>14.9</v>
      </c>
    </row>
    <row r="53" spans="1:15" x14ac:dyDescent="0.15">
      <c r="A53" s="9">
        <v>1.7</v>
      </c>
      <c r="B53" s="9">
        <v>675.7</v>
      </c>
      <c r="C53" s="9">
        <v>503</v>
      </c>
      <c r="D53" s="9">
        <v>406.3</v>
      </c>
      <c r="E53" s="9">
        <v>338.3</v>
      </c>
      <c r="F53" s="9">
        <v>255.5</v>
      </c>
      <c r="G53" s="9">
        <v>163.6</v>
      </c>
      <c r="H53" s="9">
        <v>122.4</v>
      </c>
      <c r="I53" s="9">
        <v>97.8</v>
      </c>
      <c r="J53" s="9">
        <v>73.2</v>
      </c>
      <c r="K53" s="9">
        <v>58.3</v>
      </c>
      <c r="L53" s="9">
        <v>48.8</v>
      </c>
      <c r="M53" s="9">
        <v>33.299999999999997</v>
      </c>
      <c r="N53" s="9">
        <v>27.6</v>
      </c>
      <c r="O53" s="9">
        <v>15.1</v>
      </c>
    </row>
    <row r="54" spans="1:15" x14ac:dyDescent="0.15">
      <c r="A54" s="9">
        <v>1.67</v>
      </c>
      <c r="B54" s="9">
        <v>698.7</v>
      </c>
      <c r="C54" s="9">
        <v>517.4</v>
      </c>
      <c r="D54" s="9">
        <v>420.2</v>
      </c>
      <c r="E54" s="9">
        <v>345.7</v>
      </c>
      <c r="F54" s="9">
        <v>260.60000000000002</v>
      </c>
      <c r="G54" s="9">
        <v>166.3</v>
      </c>
      <c r="H54" s="9">
        <v>124.1</v>
      </c>
      <c r="I54" s="9">
        <v>99.1</v>
      </c>
      <c r="J54" s="9">
        <v>74.099999999999994</v>
      </c>
      <c r="K54" s="9">
        <v>59</v>
      </c>
      <c r="L54" s="9">
        <v>49.3</v>
      </c>
      <c r="M54" s="9">
        <v>33.6</v>
      </c>
      <c r="N54" s="9">
        <v>27.8</v>
      </c>
      <c r="O54" s="9">
        <v>15.2</v>
      </c>
    </row>
    <row r="55" spans="1:15" x14ac:dyDescent="0.15">
      <c r="A55" s="9">
        <v>1.6</v>
      </c>
      <c r="B55" s="9">
        <v>750.8</v>
      </c>
      <c r="C55" s="9">
        <v>548.4</v>
      </c>
      <c r="D55" s="9">
        <v>438.4</v>
      </c>
      <c r="E55" s="9">
        <v>362.3</v>
      </c>
      <c r="F55" s="9">
        <v>271.8</v>
      </c>
      <c r="G55" s="9">
        <v>172.7</v>
      </c>
      <c r="H55" s="9">
        <v>128.6</v>
      </c>
      <c r="I55" s="9">
        <v>102.5</v>
      </c>
      <c r="J55" s="9">
        <v>76.400000000000006</v>
      </c>
      <c r="K55" s="9">
        <v>60.6</v>
      </c>
      <c r="L55" s="9">
        <v>50.6</v>
      </c>
      <c r="M55" s="9">
        <v>34.299999999999997</v>
      </c>
      <c r="N55" s="9">
        <v>28.3</v>
      </c>
      <c r="O55" s="9">
        <v>15.4</v>
      </c>
    </row>
    <row r="56" spans="1:15" s="35" customFormat="1" x14ac:dyDescent="0.15">
      <c r="A56" s="33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</row>
    <row r="57" spans="1:15" x14ac:dyDescent="0.15">
      <c r="A57" s="32" t="s">
        <v>55</v>
      </c>
      <c r="B57" s="32" t="s">
        <v>19</v>
      </c>
      <c r="C57" s="32" t="s">
        <v>23</v>
      </c>
      <c r="D57" s="32" t="s">
        <v>22</v>
      </c>
      <c r="E57" s="32" t="s">
        <v>31</v>
      </c>
      <c r="F57" s="32" t="s">
        <v>40</v>
      </c>
      <c r="G57" s="32" t="s">
        <v>71</v>
      </c>
      <c r="H57" s="32" t="s">
        <v>41</v>
      </c>
      <c r="I57" s="32" t="s">
        <v>72</v>
      </c>
      <c r="J57" s="32" t="s">
        <v>43</v>
      </c>
      <c r="K57" s="32" t="s">
        <v>73</v>
      </c>
      <c r="L57" s="32" t="s">
        <v>74</v>
      </c>
      <c r="M57" s="32" t="s">
        <v>75</v>
      </c>
      <c r="N57" s="32" t="s">
        <v>76</v>
      </c>
    </row>
    <row r="58" spans="1:15" x14ac:dyDescent="0.15">
      <c r="A58" s="9">
        <v>1.6</v>
      </c>
      <c r="B58" s="9">
        <v>928.6</v>
      </c>
      <c r="C58" s="9">
        <v>740</v>
      </c>
      <c r="D58" s="9">
        <v>580</v>
      </c>
      <c r="E58" s="9">
        <v>458</v>
      </c>
      <c r="F58" s="9">
        <v>355</v>
      </c>
      <c r="G58" s="9">
        <v>273</v>
      </c>
      <c r="H58" s="9">
        <v>210</v>
      </c>
      <c r="I58" s="9">
        <v>171</v>
      </c>
      <c r="J58" s="9">
        <v>136</v>
      </c>
      <c r="K58" s="9">
        <v>100.8</v>
      </c>
      <c r="L58" s="9">
        <v>66.2</v>
      </c>
      <c r="M58" s="9">
        <v>40</v>
      </c>
      <c r="N58" s="9">
        <v>21.1</v>
      </c>
    </row>
    <row r="59" spans="1:15" x14ac:dyDescent="0.15">
      <c r="A59" s="9">
        <v>1.65</v>
      </c>
      <c r="B59" s="9">
        <v>892.9</v>
      </c>
      <c r="C59" s="9">
        <v>710</v>
      </c>
      <c r="D59" s="9">
        <v>565</v>
      </c>
      <c r="E59" s="9">
        <v>451</v>
      </c>
      <c r="F59" s="9">
        <v>349</v>
      </c>
      <c r="G59" s="9">
        <v>267</v>
      </c>
      <c r="H59" s="9">
        <v>207</v>
      </c>
      <c r="I59" s="9">
        <v>169</v>
      </c>
      <c r="J59" s="9">
        <v>135</v>
      </c>
      <c r="K59" s="9">
        <v>100.1</v>
      </c>
      <c r="L59" s="9">
        <v>65.8</v>
      </c>
      <c r="M59" s="9">
        <v>39.700000000000003</v>
      </c>
      <c r="N59" s="9">
        <v>21.05</v>
      </c>
    </row>
    <row r="60" spans="1:15" x14ac:dyDescent="0.15">
      <c r="A60" s="9">
        <v>1.7</v>
      </c>
      <c r="B60" s="9">
        <v>854.5</v>
      </c>
      <c r="C60" s="9">
        <v>677</v>
      </c>
      <c r="D60" s="9">
        <v>548</v>
      </c>
      <c r="E60" s="9">
        <v>437</v>
      </c>
      <c r="F60" s="9">
        <v>341</v>
      </c>
      <c r="G60" s="9">
        <v>262</v>
      </c>
      <c r="H60" s="9">
        <v>203</v>
      </c>
      <c r="I60" s="9">
        <v>168</v>
      </c>
      <c r="J60" s="9">
        <v>134</v>
      </c>
      <c r="K60" s="9">
        <v>99.5</v>
      </c>
      <c r="L60" s="9">
        <v>65.3</v>
      </c>
      <c r="M60" s="9">
        <v>39.5</v>
      </c>
      <c r="N60" s="9">
        <v>20.99</v>
      </c>
    </row>
    <row r="61" spans="1:15" x14ac:dyDescent="0.15">
      <c r="A61" s="9">
        <v>1.75</v>
      </c>
      <c r="B61" s="9">
        <v>791.1</v>
      </c>
      <c r="C61" s="9">
        <v>640</v>
      </c>
      <c r="D61" s="9">
        <v>521</v>
      </c>
      <c r="E61" s="9">
        <v>420</v>
      </c>
      <c r="F61" s="9">
        <v>329</v>
      </c>
      <c r="G61" s="9">
        <v>256</v>
      </c>
      <c r="H61" s="9">
        <v>199</v>
      </c>
      <c r="I61" s="9">
        <v>167</v>
      </c>
      <c r="J61" s="9">
        <v>133</v>
      </c>
      <c r="K61" s="9">
        <v>98.7</v>
      </c>
      <c r="L61" s="9">
        <v>64.7</v>
      </c>
      <c r="M61" s="9">
        <v>39.299999999999997</v>
      </c>
      <c r="N61" s="9">
        <v>20.94</v>
      </c>
    </row>
    <row r="62" spans="1:15" x14ac:dyDescent="0.15">
      <c r="A62" s="9">
        <v>1.8</v>
      </c>
      <c r="B62" s="9">
        <v>714.3</v>
      </c>
      <c r="C62" s="9">
        <v>595</v>
      </c>
      <c r="D62" s="9">
        <v>491</v>
      </c>
      <c r="E62" s="9">
        <v>399</v>
      </c>
      <c r="F62" s="9">
        <v>312</v>
      </c>
      <c r="G62" s="9">
        <v>248</v>
      </c>
      <c r="H62" s="9">
        <v>193</v>
      </c>
      <c r="I62" s="9">
        <v>164</v>
      </c>
      <c r="J62" s="9">
        <v>131</v>
      </c>
      <c r="K62" s="9">
        <v>96.6</v>
      </c>
      <c r="L62" s="9">
        <v>64</v>
      </c>
      <c r="M62" s="9">
        <v>39</v>
      </c>
      <c r="N62" s="9">
        <v>20.8</v>
      </c>
    </row>
    <row r="64" spans="1:15" s="35" customFormat="1" x14ac:dyDescent="0.15">
      <c r="A64" s="33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1:15" x14ac:dyDescent="0.15">
      <c r="A65" s="32" t="s">
        <v>77</v>
      </c>
      <c r="B65" s="32" t="s">
        <v>19</v>
      </c>
      <c r="C65" s="32" t="s">
        <v>23</v>
      </c>
      <c r="D65" s="32" t="s">
        <v>22</v>
      </c>
      <c r="E65" s="32" t="s">
        <v>31</v>
      </c>
      <c r="F65" s="32" t="s">
        <v>40</v>
      </c>
      <c r="G65" s="32" t="s">
        <v>41</v>
      </c>
      <c r="H65" s="32" t="s">
        <v>42</v>
      </c>
      <c r="I65" s="32" t="s">
        <v>43</v>
      </c>
      <c r="J65" s="32" t="s">
        <v>44</v>
      </c>
      <c r="K65" s="32" t="s">
        <v>45</v>
      </c>
      <c r="L65" s="32" t="s">
        <v>46</v>
      </c>
      <c r="M65" s="32" t="s">
        <v>47</v>
      </c>
      <c r="N65" s="32" t="s">
        <v>48</v>
      </c>
      <c r="O65" s="32" t="s">
        <v>49</v>
      </c>
    </row>
    <row r="66" spans="1:15" x14ac:dyDescent="0.15">
      <c r="A66" s="11">
        <v>1.85</v>
      </c>
      <c r="B66" s="11">
        <v>761.6</v>
      </c>
      <c r="C66" s="11">
        <v>545.5</v>
      </c>
      <c r="D66" s="11">
        <v>476</v>
      </c>
      <c r="E66" s="11">
        <v>376</v>
      </c>
      <c r="F66" s="11">
        <v>337.8</v>
      </c>
      <c r="G66" s="11">
        <v>211.8</v>
      </c>
      <c r="H66" s="11">
        <v>153.9</v>
      </c>
      <c r="I66" s="11">
        <v>129.80000000000001</v>
      </c>
      <c r="J66" s="11">
        <v>95.7</v>
      </c>
      <c r="K66" s="11">
        <v>75.3</v>
      </c>
      <c r="L66" s="11">
        <v>65.599999999999994</v>
      </c>
      <c r="M66" s="11">
        <v>44.8</v>
      </c>
      <c r="N66" s="11">
        <v>37.200000000000003</v>
      </c>
      <c r="O66" s="11">
        <v>19.8</v>
      </c>
    </row>
    <row r="67" spans="1:15" x14ac:dyDescent="0.15">
      <c r="A67" s="9">
        <v>1.8</v>
      </c>
      <c r="B67" s="11">
        <v>852</v>
      </c>
      <c r="C67" s="11">
        <v>610.20000000000005</v>
      </c>
      <c r="D67" s="11">
        <v>532.5</v>
      </c>
      <c r="E67" s="11">
        <v>420.7</v>
      </c>
      <c r="F67" s="11">
        <v>364.9</v>
      </c>
      <c r="G67" s="11">
        <v>218.2</v>
      </c>
      <c r="H67" s="11">
        <v>158.30000000000001</v>
      </c>
      <c r="I67" s="11">
        <v>133.4</v>
      </c>
      <c r="J67" s="11">
        <v>103.3</v>
      </c>
      <c r="K67" s="11">
        <v>80.099999999999994</v>
      </c>
      <c r="L67" s="11">
        <v>68.7</v>
      </c>
      <c r="M67" s="11">
        <v>47</v>
      </c>
      <c r="N67" s="11">
        <v>38.9</v>
      </c>
      <c r="O67" s="11">
        <v>20.5</v>
      </c>
    </row>
    <row r="68" spans="1:15" x14ac:dyDescent="0.15">
      <c r="A68" s="9">
        <v>1.75</v>
      </c>
      <c r="B68" s="11">
        <v>909.3</v>
      </c>
      <c r="C68" s="11">
        <v>651.29999999999995</v>
      </c>
      <c r="D68" s="11">
        <v>568.29999999999995</v>
      </c>
      <c r="E68" s="11">
        <v>449</v>
      </c>
      <c r="F68" s="11">
        <v>369.5</v>
      </c>
      <c r="G68" s="11">
        <v>227.9</v>
      </c>
      <c r="H68" s="11">
        <v>165.7</v>
      </c>
      <c r="I68" s="11">
        <v>139.80000000000001</v>
      </c>
      <c r="J68" s="11">
        <v>105.1</v>
      </c>
      <c r="K68" s="11">
        <v>81.3</v>
      </c>
      <c r="L68" s="11">
        <v>69.7</v>
      </c>
      <c r="M68" s="11">
        <v>47.2</v>
      </c>
      <c r="N68" s="11">
        <v>39.299999999999997</v>
      </c>
      <c r="O68" s="11">
        <v>20.6</v>
      </c>
    </row>
    <row r="69" spans="1:15" x14ac:dyDescent="0.15">
      <c r="A69" s="9">
        <v>1.7</v>
      </c>
      <c r="B69" s="11">
        <v>955.9</v>
      </c>
      <c r="C69" s="11">
        <v>684.7</v>
      </c>
      <c r="D69" s="11">
        <v>597.4</v>
      </c>
      <c r="E69" s="11">
        <v>472</v>
      </c>
      <c r="F69" s="11">
        <v>373.7</v>
      </c>
      <c r="G69" s="11">
        <v>231.2</v>
      </c>
      <c r="H69" s="11">
        <v>168.3</v>
      </c>
      <c r="I69" s="11">
        <v>142</v>
      </c>
      <c r="J69" s="11">
        <v>106.7</v>
      </c>
      <c r="K69" s="11">
        <v>82.4</v>
      </c>
      <c r="L69" s="11">
        <v>70.7</v>
      </c>
      <c r="M69" s="11">
        <v>47.8</v>
      </c>
      <c r="N69" s="11">
        <v>39.6</v>
      </c>
      <c r="O69" s="11">
        <v>20.8</v>
      </c>
    </row>
    <row r="70" spans="1:15" x14ac:dyDescent="0.15">
      <c r="A70" s="9">
        <v>1.67</v>
      </c>
      <c r="B70" s="11">
        <v>971.4</v>
      </c>
      <c r="C70" s="11">
        <v>695.8</v>
      </c>
      <c r="D70" s="11">
        <v>607.20000000000005</v>
      </c>
      <c r="E70" s="11">
        <v>479.7</v>
      </c>
      <c r="F70" s="11">
        <v>376.4</v>
      </c>
      <c r="G70" s="11">
        <v>233.3</v>
      </c>
      <c r="H70" s="11">
        <v>169.9</v>
      </c>
      <c r="I70" s="11">
        <v>143.5</v>
      </c>
      <c r="J70" s="11">
        <v>107.2</v>
      </c>
      <c r="K70" s="11">
        <v>83.4</v>
      </c>
      <c r="L70" s="11">
        <v>71.900000000000006</v>
      </c>
      <c r="M70" s="11">
        <v>48.4</v>
      </c>
      <c r="N70" s="11">
        <v>40.1</v>
      </c>
      <c r="O70" s="11">
        <v>21.1</v>
      </c>
    </row>
    <row r="71" spans="1:15" x14ac:dyDescent="0.15">
      <c r="A71" s="9">
        <v>1.6</v>
      </c>
      <c r="B71" s="11">
        <v>985</v>
      </c>
      <c r="C71" s="11">
        <v>705.5</v>
      </c>
      <c r="D71" s="11">
        <v>615.70000000000005</v>
      </c>
      <c r="E71" s="11">
        <v>486.4</v>
      </c>
      <c r="F71" s="11">
        <v>378</v>
      </c>
      <c r="G71" s="11">
        <v>235.1</v>
      </c>
      <c r="H71" s="11">
        <v>171.2</v>
      </c>
      <c r="I71" s="11">
        <v>144.69999999999999</v>
      </c>
      <c r="J71" s="11">
        <v>107.7</v>
      </c>
      <c r="K71" s="11">
        <v>84</v>
      </c>
      <c r="L71" s="11">
        <v>72.599999999999994</v>
      </c>
      <c r="M71" s="11">
        <v>48.9</v>
      </c>
      <c r="N71" s="11">
        <v>40.5</v>
      </c>
      <c r="O71" s="11">
        <v>21.3</v>
      </c>
    </row>
    <row r="72" spans="1:15" s="35" customFormat="1" x14ac:dyDescent="0.15">
      <c r="A72" s="33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1:15" x14ac:dyDescent="0.15">
      <c r="A73" s="32" t="s">
        <v>56</v>
      </c>
      <c r="B73" s="32" t="s">
        <v>19</v>
      </c>
      <c r="C73" s="32" t="s">
        <v>23</v>
      </c>
      <c r="D73" s="32" t="s">
        <v>22</v>
      </c>
      <c r="E73" s="32" t="s">
        <v>31</v>
      </c>
      <c r="F73" s="32" t="s">
        <v>40</v>
      </c>
      <c r="G73" s="32" t="s">
        <v>71</v>
      </c>
      <c r="H73" s="32" t="s">
        <v>41</v>
      </c>
      <c r="I73" s="32" t="s">
        <v>72</v>
      </c>
      <c r="J73" s="32" t="s">
        <v>43</v>
      </c>
      <c r="K73" s="32" t="s">
        <v>73</v>
      </c>
      <c r="L73" s="32" t="s">
        <v>74</v>
      </c>
      <c r="M73" s="32" t="s">
        <v>75</v>
      </c>
      <c r="N73" s="32" t="s">
        <v>76</v>
      </c>
    </row>
    <row r="74" spans="1:15" x14ac:dyDescent="0.15">
      <c r="A74" s="11">
        <v>1.6</v>
      </c>
      <c r="B74" s="11">
        <v>1106</v>
      </c>
      <c r="C74" s="11">
        <v>853</v>
      </c>
      <c r="D74" s="11">
        <v>690</v>
      </c>
      <c r="E74" s="11">
        <v>560</v>
      </c>
      <c r="F74" s="11">
        <v>450</v>
      </c>
      <c r="G74" s="11">
        <v>350</v>
      </c>
      <c r="H74" s="11">
        <v>265</v>
      </c>
      <c r="I74" s="11">
        <v>207</v>
      </c>
      <c r="J74" s="11">
        <v>162</v>
      </c>
      <c r="K74" s="11">
        <v>126</v>
      </c>
      <c r="L74" s="11">
        <v>80.400000000000006</v>
      </c>
      <c r="M74" s="11">
        <v>49.47</v>
      </c>
      <c r="N74" s="11">
        <v>25.76</v>
      </c>
    </row>
    <row r="75" spans="1:15" x14ac:dyDescent="0.15">
      <c r="A75" s="11">
        <v>1.65</v>
      </c>
      <c r="B75" s="11">
        <v>1079</v>
      </c>
      <c r="C75" s="11">
        <v>833</v>
      </c>
      <c r="D75" s="11">
        <v>671</v>
      </c>
      <c r="E75" s="11">
        <v>548</v>
      </c>
      <c r="F75" s="11">
        <v>440</v>
      </c>
      <c r="G75" s="11">
        <v>343</v>
      </c>
      <c r="H75" s="11">
        <v>260</v>
      </c>
      <c r="I75" s="11">
        <v>205</v>
      </c>
      <c r="J75" s="11">
        <v>161</v>
      </c>
      <c r="K75" s="11">
        <v>125</v>
      </c>
      <c r="L75" s="11">
        <v>79.5</v>
      </c>
      <c r="M75" s="11">
        <v>49.38</v>
      </c>
      <c r="N75" s="11">
        <v>25.7</v>
      </c>
    </row>
    <row r="76" spans="1:15" x14ac:dyDescent="0.15">
      <c r="A76" s="11">
        <v>1.7</v>
      </c>
      <c r="B76" s="11">
        <v>1035</v>
      </c>
      <c r="C76" s="11">
        <v>805</v>
      </c>
      <c r="D76" s="11">
        <v>653</v>
      </c>
      <c r="E76" s="11">
        <v>534</v>
      </c>
      <c r="F76" s="11">
        <v>427</v>
      </c>
      <c r="G76" s="11">
        <v>334</v>
      </c>
      <c r="H76" s="11">
        <v>255</v>
      </c>
      <c r="I76" s="11">
        <v>202</v>
      </c>
      <c r="J76" s="11">
        <v>159</v>
      </c>
      <c r="K76" s="11">
        <v>124.1</v>
      </c>
      <c r="L76" s="11">
        <v>78.7</v>
      </c>
      <c r="M76" s="11">
        <v>49.26</v>
      </c>
      <c r="N76" s="11">
        <v>25.63</v>
      </c>
    </row>
    <row r="77" spans="1:15" x14ac:dyDescent="0.15">
      <c r="A77" s="11">
        <v>1.75</v>
      </c>
      <c r="B77" s="11">
        <v>984.1</v>
      </c>
      <c r="C77" s="11">
        <v>775</v>
      </c>
      <c r="D77" s="11">
        <v>631</v>
      </c>
      <c r="E77" s="11">
        <v>516</v>
      </c>
      <c r="F77" s="11">
        <v>412</v>
      </c>
      <c r="G77" s="11">
        <v>321</v>
      </c>
      <c r="H77" s="11">
        <v>247</v>
      </c>
      <c r="I77" s="11">
        <v>199</v>
      </c>
      <c r="J77" s="11">
        <v>157</v>
      </c>
      <c r="K77" s="11">
        <v>123.1</v>
      </c>
      <c r="L77" s="11">
        <v>77.599999999999994</v>
      </c>
      <c r="M77" s="11">
        <v>49.13</v>
      </c>
      <c r="N77" s="11">
        <v>25.56</v>
      </c>
    </row>
    <row r="78" spans="1:15" x14ac:dyDescent="0.15">
      <c r="A78" s="11">
        <v>1.8</v>
      </c>
      <c r="B78" s="11">
        <v>882.3</v>
      </c>
      <c r="C78" s="11">
        <v>730</v>
      </c>
      <c r="D78" s="11">
        <v>605</v>
      </c>
      <c r="E78" s="11">
        <v>495</v>
      </c>
      <c r="F78" s="11">
        <v>397</v>
      </c>
      <c r="G78" s="11">
        <v>309</v>
      </c>
      <c r="H78" s="11">
        <v>237</v>
      </c>
      <c r="I78" s="11">
        <v>195</v>
      </c>
      <c r="J78" s="11">
        <v>155</v>
      </c>
      <c r="K78" s="11">
        <v>121.8</v>
      </c>
      <c r="L78" s="11">
        <v>76.3</v>
      </c>
      <c r="M78" s="11">
        <v>48.9</v>
      </c>
      <c r="N78" s="11">
        <v>25.43</v>
      </c>
    </row>
    <row r="80" spans="1:15" s="35" customFormat="1" x14ac:dyDescent="0.15">
      <c r="A80" s="33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1:16" x14ac:dyDescent="0.15">
      <c r="A81" s="32" t="s">
        <v>78</v>
      </c>
      <c r="B81" s="32" t="s">
        <v>19</v>
      </c>
      <c r="C81" s="32" t="s">
        <v>23</v>
      </c>
      <c r="D81" s="32" t="s">
        <v>22</v>
      </c>
      <c r="E81" s="32" t="s">
        <v>31</v>
      </c>
      <c r="F81" s="32" t="s">
        <v>79</v>
      </c>
      <c r="G81" s="32" t="s">
        <v>40</v>
      </c>
      <c r="H81" s="32" t="s">
        <v>71</v>
      </c>
      <c r="I81" s="32" t="s">
        <v>41</v>
      </c>
      <c r="J81" s="32" t="s">
        <v>72</v>
      </c>
      <c r="K81" s="32" t="s">
        <v>43</v>
      </c>
      <c r="L81" s="32" t="s">
        <v>73</v>
      </c>
      <c r="M81" s="32" t="s">
        <v>80</v>
      </c>
      <c r="N81" s="32" t="s">
        <v>74</v>
      </c>
      <c r="O81" s="32" t="s">
        <v>81</v>
      </c>
      <c r="P81" s="32" t="s">
        <v>75</v>
      </c>
    </row>
    <row r="82" spans="1:16" x14ac:dyDescent="0.15">
      <c r="A82" s="9">
        <v>1.6</v>
      </c>
      <c r="B82" s="12">
        <v>948</v>
      </c>
      <c r="C82" s="12">
        <v>768</v>
      </c>
      <c r="D82" s="12">
        <v>632</v>
      </c>
      <c r="E82" s="12">
        <v>522</v>
      </c>
      <c r="F82" s="12">
        <v>450</v>
      </c>
      <c r="G82" s="12">
        <v>385</v>
      </c>
      <c r="H82" s="12">
        <v>289</v>
      </c>
      <c r="I82" s="12">
        <v>236</v>
      </c>
      <c r="J82" s="12">
        <v>176</v>
      </c>
      <c r="K82" s="12">
        <v>134</v>
      </c>
      <c r="L82" s="12">
        <v>91.7</v>
      </c>
      <c r="M82" s="12">
        <v>73</v>
      </c>
      <c r="N82" s="12">
        <v>62.2</v>
      </c>
      <c r="O82" s="12">
        <v>54.5</v>
      </c>
      <c r="P82" s="12">
        <v>34.200000000000003</v>
      </c>
    </row>
    <row r="83" spans="1:16" x14ac:dyDescent="0.15">
      <c r="A83" s="9">
        <v>1.65</v>
      </c>
      <c r="B83" s="12">
        <v>899</v>
      </c>
      <c r="C83" s="12">
        <v>736</v>
      </c>
      <c r="D83" s="12">
        <v>614</v>
      </c>
      <c r="E83" s="12">
        <v>506</v>
      </c>
      <c r="F83" s="12">
        <v>441</v>
      </c>
      <c r="G83" s="12">
        <v>378</v>
      </c>
      <c r="H83" s="12">
        <v>283</v>
      </c>
      <c r="I83" s="12">
        <v>229</v>
      </c>
      <c r="J83" s="12">
        <v>171</v>
      </c>
      <c r="K83" s="12">
        <v>130</v>
      </c>
      <c r="L83" s="12">
        <v>89</v>
      </c>
      <c r="M83" s="12">
        <v>71.7</v>
      </c>
      <c r="N83" s="12">
        <v>61.1</v>
      </c>
      <c r="O83" s="12">
        <v>53.6</v>
      </c>
      <c r="P83" s="12">
        <v>33.4</v>
      </c>
    </row>
    <row r="84" spans="1:16" x14ac:dyDescent="0.15">
      <c r="A84" s="9">
        <v>1.67</v>
      </c>
      <c r="B84" s="12">
        <v>876</v>
      </c>
      <c r="C84" s="12">
        <v>710</v>
      </c>
      <c r="D84" s="12">
        <v>600</v>
      </c>
      <c r="E84" s="12">
        <v>489</v>
      </c>
      <c r="F84" s="12">
        <v>432</v>
      </c>
      <c r="G84" s="12">
        <v>370</v>
      </c>
      <c r="H84" s="12">
        <v>278</v>
      </c>
      <c r="I84" s="12">
        <v>225</v>
      </c>
      <c r="J84" s="12">
        <v>165</v>
      </c>
      <c r="K84" s="12">
        <v>127</v>
      </c>
      <c r="L84" s="12">
        <v>87.2</v>
      </c>
      <c r="M84" s="12">
        <v>70.7</v>
      </c>
      <c r="N84" s="12">
        <v>59.7</v>
      </c>
      <c r="O84" s="12">
        <v>52.3</v>
      </c>
      <c r="P84" s="12">
        <v>33.200000000000003</v>
      </c>
    </row>
    <row r="85" spans="1:16" x14ac:dyDescent="0.15">
      <c r="A85" s="9">
        <v>1.7</v>
      </c>
      <c r="B85" s="12">
        <v>850</v>
      </c>
      <c r="C85" s="12">
        <v>682</v>
      </c>
      <c r="D85" s="12">
        <v>582</v>
      </c>
      <c r="E85" s="12">
        <v>471</v>
      </c>
      <c r="F85" s="12">
        <v>417</v>
      </c>
      <c r="G85" s="12">
        <v>362</v>
      </c>
      <c r="H85" s="12">
        <v>272</v>
      </c>
      <c r="I85" s="12">
        <v>220</v>
      </c>
      <c r="J85" s="12">
        <v>162</v>
      </c>
      <c r="K85" s="12">
        <v>125</v>
      </c>
      <c r="L85" s="12">
        <v>85.3</v>
      </c>
      <c r="M85" s="12">
        <v>69.8</v>
      </c>
      <c r="N85" s="12">
        <v>59</v>
      </c>
      <c r="O85" s="12">
        <v>51.9</v>
      </c>
      <c r="P85" s="12">
        <v>32.799999999999997</v>
      </c>
    </row>
    <row r="86" spans="1:16" x14ac:dyDescent="0.15">
      <c r="A86" s="9">
        <v>1.75</v>
      </c>
      <c r="B86" s="12">
        <v>821</v>
      </c>
      <c r="C86" s="12">
        <v>654</v>
      </c>
      <c r="D86" s="12">
        <v>554</v>
      </c>
      <c r="E86" s="12">
        <v>453</v>
      </c>
      <c r="F86" s="12">
        <v>404</v>
      </c>
      <c r="G86" s="12">
        <v>348</v>
      </c>
      <c r="H86" s="12">
        <v>269</v>
      </c>
      <c r="I86" s="12">
        <v>214</v>
      </c>
      <c r="J86" s="12">
        <v>158</v>
      </c>
      <c r="K86" s="12">
        <v>123</v>
      </c>
      <c r="L86" s="12">
        <v>83.9</v>
      </c>
      <c r="M86" s="12">
        <v>69</v>
      </c>
      <c r="N86" s="12">
        <v>58</v>
      </c>
      <c r="O86" s="12">
        <v>50.7</v>
      </c>
      <c r="P86" s="12">
        <v>32.299999999999997</v>
      </c>
    </row>
    <row r="87" spans="1:16" x14ac:dyDescent="0.15">
      <c r="A87" s="9">
        <v>1.8</v>
      </c>
      <c r="B87" s="12">
        <v>790</v>
      </c>
      <c r="C87" s="12">
        <v>623</v>
      </c>
      <c r="D87" s="12">
        <v>534</v>
      </c>
      <c r="E87" s="12">
        <v>434</v>
      </c>
      <c r="F87" s="12">
        <v>389</v>
      </c>
      <c r="G87" s="12">
        <v>335</v>
      </c>
      <c r="H87" s="12">
        <v>258</v>
      </c>
      <c r="I87" s="12">
        <v>205</v>
      </c>
      <c r="J87" s="12">
        <v>154</v>
      </c>
      <c r="K87" s="12">
        <v>119</v>
      </c>
      <c r="L87" s="12">
        <v>82.3</v>
      </c>
      <c r="M87" s="12">
        <v>67.400000000000006</v>
      </c>
      <c r="N87" s="12">
        <v>56.2</v>
      </c>
      <c r="O87" s="12">
        <v>49.4</v>
      </c>
      <c r="P87" s="12">
        <v>31.3</v>
      </c>
    </row>
    <row r="88" spans="1:16" s="35" customFormat="1" x14ac:dyDescent="0.15">
      <c r="A88" s="33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1:16" x14ac:dyDescent="0.15">
      <c r="A89" s="32" t="s">
        <v>57</v>
      </c>
      <c r="B89" s="32" t="s">
        <v>19</v>
      </c>
      <c r="C89" s="32" t="s">
        <v>23</v>
      </c>
      <c r="D89" s="32" t="s">
        <v>22</v>
      </c>
      <c r="E89" s="32" t="s">
        <v>31</v>
      </c>
      <c r="F89" s="32" t="s">
        <v>79</v>
      </c>
      <c r="G89" s="32" t="s">
        <v>40</v>
      </c>
      <c r="H89" s="32" t="s">
        <v>71</v>
      </c>
      <c r="I89" s="32" t="s">
        <v>41</v>
      </c>
      <c r="J89" s="32" t="s">
        <v>72</v>
      </c>
      <c r="K89" s="32" t="s">
        <v>43</v>
      </c>
      <c r="L89" s="32" t="s">
        <v>73</v>
      </c>
      <c r="M89" s="32" t="s">
        <v>80</v>
      </c>
      <c r="N89" s="32" t="s">
        <v>74</v>
      </c>
      <c r="O89" s="32" t="s">
        <v>81</v>
      </c>
      <c r="P89" s="32" t="s">
        <v>75</v>
      </c>
    </row>
    <row r="90" spans="1:16" x14ac:dyDescent="0.15">
      <c r="A90" s="11">
        <v>1.6</v>
      </c>
      <c r="B90" s="11">
        <v>1125</v>
      </c>
      <c r="C90" s="11">
        <v>900</v>
      </c>
      <c r="D90" s="11">
        <v>753</v>
      </c>
      <c r="E90" s="11">
        <v>606</v>
      </c>
      <c r="F90" s="11">
        <v>523</v>
      </c>
      <c r="G90" s="11">
        <v>464</v>
      </c>
      <c r="H90" s="11">
        <v>347</v>
      </c>
      <c r="I90" s="11">
        <v>282</v>
      </c>
      <c r="J90" s="11">
        <v>211</v>
      </c>
      <c r="K90" s="11">
        <v>160</v>
      </c>
      <c r="L90" s="11">
        <v>108</v>
      </c>
      <c r="M90" s="11">
        <v>85.8</v>
      </c>
      <c r="N90" s="11">
        <v>73.099999999999994</v>
      </c>
      <c r="O90" s="11">
        <v>64.099999999999994</v>
      </c>
      <c r="P90" s="11">
        <v>41.5</v>
      </c>
    </row>
    <row r="91" spans="1:16" x14ac:dyDescent="0.15">
      <c r="A91" s="11">
        <v>1.65</v>
      </c>
      <c r="B91" s="11">
        <v>1067</v>
      </c>
      <c r="C91" s="11">
        <v>862</v>
      </c>
      <c r="D91" s="11">
        <v>732</v>
      </c>
      <c r="E91" s="11">
        <v>588</v>
      </c>
      <c r="F91" s="11">
        <v>513</v>
      </c>
      <c r="G91" s="11">
        <v>455</v>
      </c>
      <c r="H91" s="11">
        <v>339</v>
      </c>
      <c r="I91" s="11">
        <v>275</v>
      </c>
      <c r="J91" s="11">
        <v>205</v>
      </c>
      <c r="K91" s="11">
        <v>156</v>
      </c>
      <c r="L91" s="11">
        <v>105</v>
      </c>
      <c r="M91" s="11">
        <v>84.3</v>
      </c>
      <c r="N91" s="11">
        <v>71.900000000000006</v>
      </c>
      <c r="O91" s="11">
        <v>63</v>
      </c>
      <c r="P91" s="11">
        <v>40.6</v>
      </c>
    </row>
    <row r="92" spans="1:16" x14ac:dyDescent="0.15">
      <c r="A92" s="11">
        <v>1.67</v>
      </c>
      <c r="B92" s="11">
        <v>1039</v>
      </c>
      <c r="C92" s="11">
        <v>831</v>
      </c>
      <c r="D92" s="11">
        <v>720</v>
      </c>
      <c r="E92" s="11">
        <v>568</v>
      </c>
      <c r="F92" s="11">
        <v>502</v>
      </c>
      <c r="G92" s="11">
        <v>445</v>
      </c>
      <c r="H92" s="11">
        <v>333</v>
      </c>
      <c r="I92" s="11">
        <v>269</v>
      </c>
      <c r="J92" s="11">
        <v>198</v>
      </c>
      <c r="K92" s="11">
        <v>152</v>
      </c>
      <c r="L92" s="11">
        <v>102</v>
      </c>
      <c r="M92" s="11">
        <v>83.2</v>
      </c>
      <c r="N92" s="11">
        <v>70.2</v>
      </c>
      <c r="O92" s="11">
        <v>61.5</v>
      </c>
      <c r="P92" s="11">
        <v>40.299999999999997</v>
      </c>
    </row>
    <row r="93" spans="1:16" x14ac:dyDescent="0.15">
      <c r="A93" s="11">
        <v>1.7</v>
      </c>
      <c r="B93" s="11">
        <v>1008</v>
      </c>
      <c r="C93" s="11">
        <v>799</v>
      </c>
      <c r="D93" s="11">
        <v>699</v>
      </c>
      <c r="E93" s="11">
        <v>547</v>
      </c>
      <c r="F93" s="11">
        <v>485</v>
      </c>
      <c r="G93" s="11">
        <v>436</v>
      </c>
      <c r="H93" s="11">
        <v>326</v>
      </c>
      <c r="I93" s="11">
        <v>264</v>
      </c>
      <c r="J93" s="11">
        <v>194</v>
      </c>
      <c r="K93" s="11">
        <v>150</v>
      </c>
      <c r="L93" s="11">
        <v>100</v>
      </c>
      <c r="M93" s="11">
        <v>82.1</v>
      </c>
      <c r="N93" s="11">
        <v>69.400000000000006</v>
      </c>
      <c r="O93" s="11">
        <v>61</v>
      </c>
      <c r="P93" s="11">
        <v>39.9</v>
      </c>
    </row>
    <row r="94" spans="1:16" x14ac:dyDescent="0.15">
      <c r="A94" s="11">
        <v>1.75</v>
      </c>
      <c r="B94" s="11">
        <v>974</v>
      </c>
      <c r="C94" s="11">
        <v>766</v>
      </c>
      <c r="D94" s="11">
        <v>664</v>
      </c>
      <c r="E94" s="11">
        <v>526</v>
      </c>
      <c r="F94" s="11">
        <v>469</v>
      </c>
      <c r="G94" s="11">
        <v>425</v>
      </c>
      <c r="H94" s="11">
        <v>320</v>
      </c>
      <c r="I94" s="11">
        <v>256</v>
      </c>
      <c r="J94" s="11">
        <v>189</v>
      </c>
      <c r="K94" s="11">
        <v>147</v>
      </c>
      <c r="L94" s="11">
        <v>98.6</v>
      </c>
      <c r="M94" s="11">
        <v>81.099999999999994</v>
      </c>
      <c r="N94" s="11">
        <v>68.2</v>
      </c>
      <c r="O94" s="11">
        <v>59.6</v>
      </c>
      <c r="P94" s="11">
        <v>39.200000000000003</v>
      </c>
    </row>
    <row r="95" spans="1:16" x14ac:dyDescent="0.15">
      <c r="A95" s="11">
        <v>1.8</v>
      </c>
      <c r="B95" s="11">
        <v>937</v>
      </c>
      <c r="C95" s="11">
        <v>730</v>
      </c>
      <c r="D95" s="11">
        <v>635</v>
      </c>
      <c r="E95" s="11">
        <v>513</v>
      </c>
      <c r="F95" s="11">
        <v>452</v>
      </c>
      <c r="G95" s="11">
        <v>406</v>
      </c>
      <c r="H95" s="11">
        <v>310</v>
      </c>
      <c r="I95" s="11">
        <v>246</v>
      </c>
      <c r="J95" s="11">
        <v>184</v>
      </c>
      <c r="K95" s="11">
        <v>143</v>
      </c>
      <c r="L95" s="11">
        <v>96.8</v>
      </c>
      <c r="M95" s="11">
        <v>79.3</v>
      </c>
      <c r="N95" s="11">
        <v>66.099999999999994</v>
      </c>
      <c r="O95" s="11">
        <v>58.1</v>
      </c>
      <c r="P95" s="11">
        <v>37.9</v>
      </c>
    </row>
    <row r="96" spans="1:16" s="35" customFormat="1" x14ac:dyDescent="0.15">
      <c r="A96" s="33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1:16" x14ac:dyDescent="0.15">
      <c r="A97" s="32" t="s">
        <v>58</v>
      </c>
      <c r="B97" s="32" t="s">
        <v>19</v>
      </c>
      <c r="C97" s="32" t="s">
        <v>23</v>
      </c>
      <c r="D97" s="32" t="s">
        <v>22</v>
      </c>
      <c r="E97" s="32" t="s">
        <v>31</v>
      </c>
      <c r="F97" s="32" t="s">
        <v>79</v>
      </c>
      <c r="G97" s="32" t="s">
        <v>40</v>
      </c>
      <c r="H97" s="32" t="s">
        <v>71</v>
      </c>
      <c r="I97" s="32" t="s">
        <v>41</v>
      </c>
      <c r="J97" s="32" t="s">
        <v>72</v>
      </c>
      <c r="K97" s="32" t="s">
        <v>43</v>
      </c>
      <c r="L97" s="32" t="s">
        <v>73</v>
      </c>
      <c r="M97" s="32" t="s">
        <v>80</v>
      </c>
      <c r="N97" s="32" t="s">
        <v>74</v>
      </c>
      <c r="O97" s="32" t="s">
        <v>81</v>
      </c>
      <c r="P97" s="32" t="s">
        <v>75</v>
      </c>
    </row>
    <row r="98" spans="1:16" x14ac:dyDescent="0.15">
      <c r="A98" s="11">
        <v>1.6</v>
      </c>
      <c r="B98" s="11">
        <v>1290</v>
      </c>
      <c r="C98" s="11">
        <v>1068</v>
      </c>
      <c r="D98" s="11">
        <v>858</v>
      </c>
      <c r="E98" s="11">
        <v>738</v>
      </c>
      <c r="F98" s="11">
        <v>617</v>
      </c>
      <c r="G98" s="11">
        <v>548</v>
      </c>
      <c r="H98" s="11">
        <v>427</v>
      </c>
      <c r="I98" s="11">
        <v>348</v>
      </c>
      <c r="J98" s="11">
        <v>260</v>
      </c>
      <c r="K98" s="11">
        <v>197</v>
      </c>
      <c r="L98" s="11">
        <v>135</v>
      </c>
      <c r="M98" s="11">
        <v>108</v>
      </c>
      <c r="N98" s="11">
        <v>91.5</v>
      </c>
      <c r="O98" s="11">
        <v>80.400000000000006</v>
      </c>
      <c r="P98" s="11">
        <v>50.5</v>
      </c>
    </row>
    <row r="99" spans="1:16" x14ac:dyDescent="0.15">
      <c r="A99" s="11">
        <v>1.65</v>
      </c>
      <c r="B99" s="11">
        <v>1226</v>
      </c>
      <c r="C99" s="11">
        <v>1023</v>
      </c>
      <c r="D99" s="11">
        <v>834</v>
      </c>
      <c r="E99" s="11">
        <v>716</v>
      </c>
      <c r="F99" s="11">
        <v>615</v>
      </c>
      <c r="G99" s="11">
        <v>537</v>
      </c>
      <c r="H99" s="11">
        <v>418</v>
      </c>
      <c r="I99" s="11">
        <v>338</v>
      </c>
      <c r="J99" s="11">
        <v>252</v>
      </c>
      <c r="K99" s="11">
        <v>193</v>
      </c>
      <c r="L99" s="11">
        <v>131</v>
      </c>
      <c r="M99" s="11">
        <v>106</v>
      </c>
      <c r="N99" s="11">
        <v>90.5</v>
      </c>
      <c r="O99" s="11">
        <v>79.2</v>
      </c>
      <c r="P99" s="11">
        <v>49.3</v>
      </c>
    </row>
    <row r="100" spans="1:16" x14ac:dyDescent="0.15">
      <c r="A100" s="11">
        <v>1.67</v>
      </c>
      <c r="B100" s="11">
        <v>1194</v>
      </c>
      <c r="C100" s="11">
        <v>986</v>
      </c>
      <c r="D100" s="11">
        <v>800</v>
      </c>
      <c r="E100" s="11">
        <v>691</v>
      </c>
      <c r="F100" s="11">
        <v>593</v>
      </c>
      <c r="G100" s="11">
        <v>526</v>
      </c>
      <c r="H100" s="11">
        <v>410</v>
      </c>
      <c r="I100" s="11">
        <v>332</v>
      </c>
      <c r="J100" s="11">
        <v>244</v>
      </c>
      <c r="K100" s="11">
        <v>188</v>
      </c>
      <c r="L100" s="11">
        <v>129</v>
      </c>
      <c r="M100" s="11">
        <v>104</v>
      </c>
      <c r="N100" s="11">
        <v>87.7</v>
      </c>
      <c r="O100" s="11">
        <v>77.2</v>
      </c>
      <c r="P100" s="11">
        <v>49</v>
      </c>
    </row>
    <row r="101" spans="1:16" x14ac:dyDescent="0.15">
      <c r="A101" s="11">
        <v>1.7</v>
      </c>
      <c r="B101" s="11">
        <v>1158</v>
      </c>
      <c r="C101" s="11">
        <v>948</v>
      </c>
      <c r="D101" s="11">
        <v>786</v>
      </c>
      <c r="E101" s="11">
        <v>666</v>
      </c>
      <c r="F101" s="11">
        <v>572</v>
      </c>
      <c r="G101" s="11">
        <v>515</v>
      </c>
      <c r="H101" s="11">
        <v>402</v>
      </c>
      <c r="I101" s="11">
        <v>325</v>
      </c>
      <c r="J101" s="11">
        <v>240</v>
      </c>
      <c r="K101" s="11">
        <v>185</v>
      </c>
      <c r="L101" s="11">
        <v>126</v>
      </c>
      <c r="M101" s="11">
        <v>103</v>
      </c>
      <c r="N101" s="11">
        <v>86.8</v>
      </c>
      <c r="O101" s="11">
        <v>76.599999999999994</v>
      </c>
      <c r="P101" s="11">
        <v>48.5</v>
      </c>
    </row>
    <row r="102" spans="1:16" x14ac:dyDescent="0.15">
      <c r="A102" s="11">
        <v>1.75</v>
      </c>
      <c r="B102" s="11">
        <v>1119</v>
      </c>
      <c r="C102" s="11">
        <v>909</v>
      </c>
      <c r="D102" s="11">
        <v>750</v>
      </c>
      <c r="E102" s="11">
        <v>641</v>
      </c>
      <c r="F102" s="11">
        <v>554</v>
      </c>
      <c r="G102" s="11">
        <v>500</v>
      </c>
      <c r="H102" s="11">
        <v>396</v>
      </c>
      <c r="I102" s="11">
        <v>316</v>
      </c>
      <c r="J102" s="11">
        <v>233</v>
      </c>
      <c r="K102" s="11">
        <v>182</v>
      </c>
      <c r="L102" s="11">
        <v>124</v>
      </c>
      <c r="M102" s="11">
        <v>102</v>
      </c>
      <c r="N102" s="11">
        <v>85.9</v>
      </c>
      <c r="O102" s="11">
        <v>74.8</v>
      </c>
      <c r="P102" s="11">
        <v>47.6</v>
      </c>
    </row>
    <row r="103" spans="1:16" x14ac:dyDescent="0.15">
      <c r="A103" s="11">
        <v>1.8</v>
      </c>
      <c r="B103" s="11">
        <v>1076</v>
      </c>
      <c r="C103" s="11">
        <v>866</v>
      </c>
      <c r="D103" s="11">
        <v>715</v>
      </c>
      <c r="E103" s="11">
        <v>614</v>
      </c>
      <c r="F103" s="11">
        <v>533</v>
      </c>
      <c r="G103" s="11">
        <v>475</v>
      </c>
      <c r="H103" s="11">
        <v>385</v>
      </c>
      <c r="I103" s="11">
        <v>303</v>
      </c>
      <c r="J103" s="11">
        <v>227</v>
      </c>
      <c r="K103" s="11">
        <v>176</v>
      </c>
      <c r="L103" s="11">
        <v>122</v>
      </c>
      <c r="M103" s="11">
        <v>100</v>
      </c>
      <c r="N103" s="11">
        <v>83</v>
      </c>
      <c r="O103" s="11">
        <v>72.900000000000006</v>
      </c>
      <c r="P103" s="11">
        <v>46.1</v>
      </c>
    </row>
    <row r="104" spans="1:16" s="35" customFormat="1" x14ac:dyDescent="0.15">
      <c r="A104" s="33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1:16" x14ac:dyDescent="0.15">
      <c r="A105" s="32" t="s">
        <v>59</v>
      </c>
      <c r="B105" s="32" t="s">
        <v>19</v>
      </c>
      <c r="C105" s="32" t="s">
        <v>23</v>
      </c>
      <c r="D105" s="32" t="s">
        <v>22</v>
      </c>
      <c r="E105" s="32" t="s">
        <v>31</v>
      </c>
      <c r="F105" s="32" t="s">
        <v>79</v>
      </c>
      <c r="G105" s="32" t="s">
        <v>40</v>
      </c>
      <c r="H105" s="32" t="s">
        <v>71</v>
      </c>
      <c r="I105" s="32" t="s">
        <v>41</v>
      </c>
      <c r="J105" s="32" t="s">
        <v>72</v>
      </c>
      <c r="K105" s="32" t="s">
        <v>43</v>
      </c>
      <c r="L105" s="32" t="s">
        <v>73</v>
      </c>
      <c r="M105" s="32" t="s">
        <v>80</v>
      </c>
      <c r="N105" s="32" t="s">
        <v>74</v>
      </c>
      <c r="O105" s="32" t="s">
        <v>81</v>
      </c>
      <c r="P105" s="32" t="s">
        <v>75</v>
      </c>
    </row>
    <row r="106" spans="1:16" x14ac:dyDescent="0.15">
      <c r="A106" s="6">
        <v>1.6</v>
      </c>
      <c r="B106" s="6">
        <v>1384</v>
      </c>
      <c r="C106" s="6">
        <v>1144</v>
      </c>
      <c r="D106" s="6">
        <v>933</v>
      </c>
      <c r="E106" s="6">
        <v>791</v>
      </c>
      <c r="F106" s="6">
        <v>661</v>
      </c>
      <c r="G106" s="6">
        <v>599</v>
      </c>
      <c r="H106" s="6">
        <v>458</v>
      </c>
      <c r="I106" s="6">
        <v>373</v>
      </c>
      <c r="J106" s="6">
        <v>279</v>
      </c>
      <c r="K106" s="6">
        <v>212</v>
      </c>
      <c r="L106" s="6">
        <v>145</v>
      </c>
      <c r="M106" s="6">
        <v>115</v>
      </c>
      <c r="N106" s="6">
        <v>98</v>
      </c>
      <c r="O106" s="6">
        <v>86.2</v>
      </c>
      <c r="P106" s="6">
        <v>54.1</v>
      </c>
    </row>
    <row r="107" spans="1:16" x14ac:dyDescent="0.15">
      <c r="A107" s="6">
        <v>1.65</v>
      </c>
      <c r="B107" s="6">
        <v>1314</v>
      </c>
      <c r="C107" s="6">
        <v>1096</v>
      </c>
      <c r="D107" s="6">
        <v>907</v>
      </c>
      <c r="E107" s="6">
        <v>767</v>
      </c>
      <c r="F107" s="6">
        <v>649</v>
      </c>
      <c r="G107" s="6">
        <v>588</v>
      </c>
      <c r="H107" s="6">
        <v>448</v>
      </c>
      <c r="I107" s="6">
        <v>362</v>
      </c>
      <c r="J107" s="6">
        <v>270</v>
      </c>
      <c r="K107" s="6">
        <v>206</v>
      </c>
      <c r="L107" s="6">
        <v>141</v>
      </c>
      <c r="M107" s="6">
        <v>113</v>
      </c>
      <c r="N107" s="6">
        <v>97</v>
      </c>
      <c r="O107" s="6">
        <v>84.8</v>
      </c>
      <c r="P107" s="6">
        <v>52.8</v>
      </c>
    </row>
    <row r="108" spans="1:16" x14ac:dyDescent="0.15">
      <c r="A108" s="6">
        <v>1.67</v>
      </c>
      <c r="B108" s="6">
        <v>1280</v>
      </c>
      <c r="C108" s="6">
        <v>1056</v>
      </c>
      <c r="D108" s="6">
        <v>870</v>
      </c>
      <c r="E108" s="6">
        <v>741</v>
      </c>
      <c r="F108" s="6">
        <v>635</v>
      </c>
      <c r="G108" s="6">
        <v>576</v>
      </c>
      <c r="H108" s="6">
        <v>439</v>
      </c>
      <c r="I108" s="6">
        <v>355</v>
      </c>
      <c r="J108" s="6">
        <v>262</v>
      </c>
      <c r="K108" s="6">
        <v>201</v>
      </c>
      <c r="L108" s="6">
        <v>138</v>
      </c>
      <c r="M108" s="6">
        <v>112</v>
      </c>
      <c r="N108" s="6">
        <v>94</v>
      </c>
      <c r="O108" s="6">
        <v>82.8</v>
      </c>
      <c r="P108" s="6">
        <v>52.5</v>
      </c>
    </row>
    <row r="109" spans="1:16" x14ac:dyDescent="0.15">
      <c r="A109" s="6">
        <v>1.7</v>
      </c>
      <c r="B109" s="6">
        <v>1241</v>
      </c>
      <c r="C109" s="6">
        <v>1016</v>
      </c>
      <c r="D109" s="6">
        <v>853</v>
      </c>
      <c r="E109" s="6">
        <v>714</v>
      </c>
      <c r="F109" s="6">
        <v>613</v>
      </c>
      <c r="G109" s="6">
        <v>563</v>
      </c>
      <c r="H109" s="6">
        <v>431</v>
      </c>
      <c r="I109" s="6">
        <v>349</v>
      </c>
      <c r="J109" s="6">
        <v>257</v>
      </c>
      <c r="K109" s="6">
        <v>198</v>
      </c>
      <c r="L109" s="6">
        <v>135</v>
      </c>
      <c r="M109" s="6">
        <v>110</v>
      </c>
      <c r="N109" s="6">
        <v>93</v>
      </c>
      <c r="O109" s="6">
        <v>82.1</v>
      </c>
      <c r="P109" s="6">
        <v>51.9</v>
      </c>
    </row>
    <row r="110" spans="1:16" x14ac:dyDescent="0.15">
      <c r="A110" s="6">
        <v>1.75</v>
      </c>
      <c r="B110" s="6">
        <v>1199</v>
      </c>
      <c r="C110" s="6">
        <v>974</v>
      </c>
      <c r="D110" s="6">
        <v>814</v>
      </c>
      <c r="E110" s="6">
        <v>687</v>
      </c>
      <c r="F110" s="6">
        <v>593</v>
      </c>
      <c r="G110" s="6">
        <v>546</v>
      </c>
      <c r="H110" s="6">
        <v>422</v>
      </c>
      <c r="I110" s="6">
        <v>338</v>
      </c>
      <c r="J110" s="6">
        <v>250</v>
      </c>
      <c r="K110" s="6">
        <v>195</v>
      </c>
      <c r="L110" s="6">
        <v>133</v>
      </c>
      <c r="M110" s="6">
        <v>109</v>
      </c>
      <c r="N110" s="6">
        <v>92</v>
      </c>
      <c r="O110" s="6">
        <v>80.2</v>
      </c>
      <c r="P110" s="6">
        <v>51.1</v>
      </c>
    </row>
    <row r="111" spans="1:16" x14ac:dyDescent="0.15">
      <c r="A111" s="6">
        <v>1.8</v>
      </c>
      <c r="B111" s="6">
        <v>1153</v>
      </c>
      <c r="C111" s="6">
        <v>928</v>
      </c>
      <c r="D111" s="6">
        <v>778</v>
      </c>
      <c r="E111" s="6">
        <v>658</v>
      </c>
      <c r="F111" s="6">
        <v>571</v>
      </c>
      <c r="G111" s="6">
        <v>525</v>
      </c>
      <c r="H111" s="6">
        <v>412</v>
      </c>
      <c r="I111" s="6">
        <v>324</v>
      </c>
      <c r="J111" s="6">
        <v>243</v>
      </c>
      <c r="K111" s="6">
        <v>189</v>
      </c>
      <c r="L111" s="6">
        <v>130</v>
      </c>
      <c r="M111" s="6">
        <v>107</v>
      </c>
      <c r="N111" s="6">
        <v>88.9</v>
      </c>
      <c r="O111" s="6">
        <v>78.099999999999994</v>
      </c>
      <c r="P111" s="6">
        <v>49.4</v>
      </c>
    </row>
    <row r="112" spans="1:16" s="35" customFormat="1" x14ac:dyDescent="0.15">
      <c r="A112" s="33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1:14" x14ac:dyDescent="0.15">
      <c r="A113" s="32" t="s">
        <v>155</v>
      </c>
      <c r="B113" s="32" t="s">
        <v>156</v>
      </c>
      <c r="C113" s="32" t="s">
        <v>157</v>
      </c>
      <c r="D113" s="32" t="s">
        <v>158</v>
      </c>
      <c r="E113" s="32" t="s">
        <v>159</v>
      </c>
      <c r="F113" s="32" t="s">
        <v>160</v>
      </c>
      <c r="G113" s="32" t="s">
        <v>161</v>
      </c>
      <c r="H113" s="32" t="s">
        <v>162</v>
      </c>
      <c r="I113" s="32" t="s">
        <v>163</v>
      </c>
      <c r="J113" s="32" t="s">
        <v>164</v>
      </c>
      <c r="K113" s="32" t="s">
        <v>165</v>
      </c>
      <c r="L113" s="32" t="s">
        <v>166</v>
      </c>
      <c r="M113" s="32" t="s">
        <v>167</v>
      </c>
    </row>
    <row r="114" spans="1:14" x14ac:dyDescent="0.15">
      <c r="A114" s="9">
        <v>1.6</v>
      </c>
      <c r="B114" s="12">
        <v>156</v>
      </c>
      <c r="C114" s="12">
        <v>130</v>
      </c>
      <c r="D114" s="12">
        <v>100</v>
      </c>
      <c r="E114" s="12">
        <v>82.7</v>
      </c>
      <c r="F114" s="12">
        <v>62</v>
      </c>
      <c r="G114" s="12">
        <v>45.6</v>
      </c>
      <c r="H114" s="12">
        <v>36.799999999999997</v>
      </c>
      <c r="I114" s="12">
        <v>28.6</v>
      </c>
      <c r="J114" s="12">
        <v>20.7</v>
      </c>
      <c r="K114" s="12">
        <v>13.2</v>
      </c>
      <c r="L114" s="12">
        <v>8</v>
      </c>
      <c r="M114" s="12">
        <v>4.2</v>
      </c>
    </row>
    <row r="115" spans="1:14" x14ac:dyDescent="0.15">
      <c r="A115" s="9">
        <v>1.65</v>
      </c>
      <c r="B115" s="12">
        <v>150</v>
      </c>
      <c r="C115" s="12">
        <v>126</v>
      </c>
      <c r="D115" s="12">
        <v>97.8</v>
      </c>
      <c r="E115" s="12">
        <v>80.7</v>
      </c>
      <c r="F115" s="12">
        <v>60.4</v>
      </c>
      <c r="G115" s="12">
        <v>44.5</v>
      </c>
      <c r="H115" s="12">
        <v>36</v>
      </c>
      <c r="I115" s="12">
        <v>28.2</v>
      </c>
      <c r="J115" s="12">
        <v>20.399999999999999</v>
      </c>
      <c r="K115" s="12">
        <v>13</v>
      </c>
      <c r="L115" s="12">
        <v>7.92</v>
      </c>
      <c r="M115" s="12">
        <v>4.17</v>
      </c>
    </row>
    <row r="116" spans="1:14" x14ac:dyDescent="0.15">
      <c r="A116" s="9">
        <v>1.7</v>
      </c>
      <c r="B116" s="12">
        <v>148</v>
      </c>
      <c r="C116" s="12">
        <v>123</v>
      </c>
      <c r="D116" s="12">
        <v>95.3</v>
      </c>
      <c r="E116" s="12">
        <v>79.3</v>
      </c>
      <c r="F116" s="12">
        <v>58.7</v>
      </c>
      <c r="G116" s="12">
        <v>43.4</v>
      </c>
      <c r="H116" s="12">
        <v>35.799999999999997</v>
      </c>
      <c r="I116" s="12">
        <v>27.8</v>
      </c>
      <c r="J116" s="12">
        <v>20</v>
      </c>
      <c r="K116" s="12">
        <v>12.8</v>
      </c>
      <c r="L116" s="12">
        <v>7.84</v>
      </c>
      <c r="M116" s="12">
        <v>4.12</v>
      </c>
    </row>
    <row r="117" spans="1:14" x14ac:dyDescent="0.15">
      <c r="A117" s="9">
        <v>1.75</v>
      </c>
      <c r="B117" s="12">
        <v>144</v>
      </c>
      <c r="C117" s="12">
        <v>120</v>
      </c>
      <c r="D117" s="12">
        <v>92.7</v>
      </c>
      <c r="E117" s="12">
        <v>77.3</v>
      </c>
      <c r="F117" s="12">
        <v>57.4</v>
      </c>
      <c r="G117" s="12">
        <v>42.2</v>
      </c>
      <c r="H117" s="12">
        <v>35</v>
      </c>
      <c r="I117" s="12">
        <v>27</v>
      </c>
      <c r="J117" s="12">
        <v>19.8</v>
      </c>
      <c r="K117" s="12">
        <v>12.7</v>
      </c>
      <c r="L117" s="12">
        <v>7.75</v>
      </c>
      <c r="M117" s="12">
        <v>4.0599999999999996</v>
      </c>
    </row>
    <row r="118" spans="1:14" x14ac:dyDescent="0.15">
      <c r="A118" s="9">
        <v>1.8</v>
      </c>
      <c r="B118" s="12">
        <v>142</v>
      </c>
      <c r="C118" s="12">
        <v>118</v>
      </c>
      <c r="D118" s="12">
        <v>90.2</v>
      </c>
      <c r="E118" s="12">
        <v>75.2</v>
      </c>
      <c r="F118" s="12">
        <v>56</v>
      </c>
      <c r="G118" s="12">
        <v>40.799999999999997</v>
      </c>
      <c r="H118" s="12">
        <v>34.299999999999997</v>
      </c>
      <c r="I118" s="12">
        <v>26.5</v>
      </c>
      <c r="J118" s="12">
        <v>19.600000000000001</v>
      </c>
      <c r="K118" s="12">
        <v>12.5</v>
      </c>
      <c r="L118" s="12">
        <v>7.65</v>
      </c>
      <c r="M118" s="12">
        <v>3.98</v>
      </c>
    </row>
    <row r="120" spans="1:14" s="35" customFormat="1" x14ac:dyDescent="0.15">
      <c r="A120" s="33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1:14" x14ac:dyDescent="0.15">
      <c r="A121" s="32" t="s">
        <v>168</v>
      </c>
      <c r="B121" s="32" t="s">
        <v>156</v>
      </c>
      <c r="C121" s="32" t="s">
        <v>157</v>
      </c>
      <c r="D121" s="32" t="s">
        <v>158</v>
      </c>
      <c r="E121" s="32" t="s">
        <v>159</v>
      </c>
      <c r="F121" s="32" t="s">
        <v>160</v>
      </c>
      <c r="G121" s="32" t="s">
        <v>161</v>
      </c>
      <c r="H121" s="32" t="s">
        <v>162</v>
      </c>
      <c r="I121" s="32" t="s">
        <v>163</v>
      </c>
      <c r="J121" s="32" t="s">
        <v>164</v>
      </c>
      <c r="K121" s="32" t="s">
        <v>165</v>
      </c>
      <c r="L121" s="32" t="s">
        <v>166</v>
      </c>
      <c r="M121" s="32" t="s">
        <v>167</v>
      </c>
    </row>
    <row r="122" spans="1:14" x14ac:dyDescent="0.15">
      <c r="A122" s="9">
        <v>1.6</v>
      </c>
      <c r="B122" s="12">
        <v>173</v>
      </c>
      <c r="C122" s="12">
        <v>144</v>
      </c>
      <c r="D122" s="12">
        <v>118</v>
      </c>
      <c r="E122" s="12">
        <v>93</v>
      </c>
      <c r="F122" s="12">
        <v>73.3</v>
      </c>
      <c r="G122" s="12">
        <v>52.6</v>
      </c>
      <c r="H122" s="12">
        <v>43</v>
      </c>
      <c r="I122" s="12">
        <v>34.200000000000003</v>
      </c>
      <c r="J122" s="12">
        <v>23.3</v>
      </c>
      <c r="K122" s="12">
        <v>16.8</v>
      </c>
      <c r="L122" s="12">
        <v>9.0399999999999991</v>
      </c>
      <c r="M122" s="12">
        <v>4.75</v>
      </c>
    </row>
    <row r="123" spans="1:14" x14ac:dyDescent="0.15">
      <c r="A123" s="9">
        <v>1.65</v>
      </c>
      <c r="B123" s="12">
        <v>166</v>
      </c>
      <c r="C123" s="12">
        <v>138</v>
      </c>
      <c r="D123" s="12">
        <v>113</v>
      </c>
      <c r="E123" s="12">
        <v>90.8</v>
      </c>
      <c r="F123" s="12">
        <v>70.8</v>
      </c>
      <c r="G123" s="12">
        <v>51</v>
      </c>
      <c r="H123" s="12">
        <v>42.5</v>
      </c>
      <c r="I123" s="12">
        <v>33.6</v>
      </c>
      <c r="J123" s="12">
        <v>22.8</v>
      </c>
      <c r="K123" s="12">
        <v>16.399999999999999</v>
      </c>
      <c r="L123" s="12">
        <v>8.8800000000000008</v>
      </c>
      <c r="M123" s="12">
        <v>4.6500000000000004</v>
      </c>
    </row>
    <row r="124" spans="1:14" x14ac:dyDescent="0.15">
      <c r="A124" s="9">
        <v>1.7</v>
      </c>
      <c r="B124" s="12">
        <v>162</v>
      </c>
      <c r="C124" s="12">
        <v>135</v>
      </c>
      <c r="D124" s="12">
        <v>108</v>
      </c>
      <c r="E124" s="12">
        <v>87.2</v>
      </c>
      <c r="F124" s="12">
        <v>67.3</v>
      </c>
      <c r="G124" s="12">
        <v>49.2</v>
      </c>
      <c r="H124" s="12">
        <v>41</v>
      </c>
      <c r="I124" s="12">
        <v>32.799999999999997</v>
      </c>
      <c r="J124" s="12">
        <v>22.4</v>
      </c>
      <c r="K124" s="12">
        <v>16</v>
      </c>
      <c r="L124" s="12">
        <v>8.7799999999999994</v>
      </c>
      <c r="M124" s="12">
        <v>4.5599999999999996</v>
      </c>
    </row>
    <row r="125" spans="1:14" x14ac:dyDescent="0.15">
      <c r="A125" s="9">
        <v>1.75</v>
      </c>
      <c r="B125" s="12">
        <v>156</v>
      </c>
      <c r="C125" s="12">
        <v>130</v>
      </c>
      <c r="D125" s="12">
        <v>105</v>
      </c>
      <c r="E125" s="12">
        <v>83.8</v>
      </c>
      <c r="F125" s="12">
        <v>65</v>
      </c>
      <c r="G125" s="12">
        <v>46.7</v>
      </c>
      <c r="H125" s="12">
        <v>40.5</v>
      </c>
      <c r="I125" s="12">
        <v>32.200000000000003</v>
      </c>
      <c r="J125" s="12">
        <v>22</v>
      </c>
      <c r="K125" s="12">
        <v>15.7</v>
      </c>
      <c r="L125" s="12">
        <v>8.65</v>
      </c>
      <c r="M125" s="12">
        <v>4.4800000000000004</v>
      </c>
    </row>
    <row r="126" spans="1:14" x14ac:dyDescent="0.15">
      <c r="A126" s="9">
        <v>1.8</v>
      </c>
      <c r="B126" s="12">
        <v>150</v>
      </c>
      <c r="C126" s="12">
        <v>126</v>
      </c>
      <c r="D126" s="12">
        <v>100</v>
      </c>
      <c r="E126" s="12">
        <v>80</v>
      </c>
      <c r="F126" s="12">
        <v>62.3</v>
      </c>
      <c r="G126" s="12">
        <v>44.3</v>
      </c>
      <c r="H126" s="12">
        <v>39</v>
      </c>
      <c r="I126" s="12">
        <v>31.6</v>
      </c>
      <c r="J126" s="12">
        <v>21.7</v>
      </c>
      <c r="K126" s="12">
        <v>15.4</v>
      </c>
      <c r="L126" s="12">
        <v>8.4499999999999993</v>
      </c>
      <c r="M126" s="12">
        <v>4.38</v>
      </c>
    </row>
    <row r="128" spans="1:14" s="35" customFormat="1" x14ac:dyDescent="0.15">
      <c r="A128" s="33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</row>
    <row r="129" spans="1:14" x14ac:dyDescent="0.15">
      <c r="A129" s="32" t="s">
        <v>169</v>
      </c>
      <c r="B129" s="32" t="s">
        <v>156</v>
      </c>
      <c r="C129" s="32" t="s">
        <v>157</v>
      </c>
      <c r="D129" s="32" t="s">
        <v>158</v>
      </c>
      <c r="E129" s="32" t="s">
        <v>159</v>
      </c>
      <c r="F129" s="32" t="s">
        <v>160</v>
      </c>
      <c r="G129" s="32" t="s">
        <v>161</v>
      </c>
      <c r="H129" s="32" t="s">
        <v>162</v>
      </c>
      <c r="I129" s="32" t="s">
        <v>163</v>
      </c>
      <c r="J129" s="32" t="s">
        <v>164</v>
      </c>
      <c r="K129" s="32" t="s">
        <v>165</v>
      </c>
      <c r="L129" s="32" t="s">
        <v>166</v>
      </c>
      <c r="M129" s="32" t="s">
        <v>167</v>
      </c>
    </row>
    <row r="130" spans="1:14" x14ac:dyDescent="0.15">
      <c r="A130" s="9">
        <v>1.6</v>
      </c>
      <c r="B130" s="12">
        <v>192</v>
      </c>
      <c r="C130" s="12">
        <v>160</v>
      </c>
      <c r="D130" s="12">
        <v>138</v>
      </c>
      <c r="E130" s="12">
        <v>112</v>
      </c>
      <c r="F130" s="12">
        <v>81.5</v>
      </c>
      <c r="G130" s="12">
        <v>61.7</v>
      </c>
      <c r="H130" s="12">
        <v>48.7</v>
      </c>
      <c r="I130" s="12">
        <v>37.799999999999997</v>
      </c>
      <c r="J130" s="12">
        <v>26.5</v>
      </c>
      <c r="K130" s="12">
        <v>18.5</v>
      </c>
      <c r="L130" s="12">
        <v>10.8</v>
      </c>
      <c r="M130" s="12">
        <v>5.66</v>
      </c>
    </row>
    <row r="131" spans="1:14" x14ac:dyDescent="0.15">
      <c r="A131" s="9">
        <v>1.65</v>
      </c>
      <c r="B131" s="12">
        <v>187</v>
      </c>
      <c r="C131" s="12">
        <v>156</v>
      </c>
      <c r="D131" s="12">
        <v>136</v>
      </c>
      <c r="E131" s="12">
        <v>108</v>
      </c>
      <c r="F131" s="12">
        <v>79</v>
      </c>
      <c r="G131" s="12">
        <v>59.7</v>
      </c>
      <c r="H131" s="12">
        <v>47.6</v>
      </c>
      <c r="I131" s="12">
        <v>37</v>
      </c>
      <c r="J131" s="12">
        <v>25.8</v>
      </c>
      <c r="K131" s="12">
        <v>18.2</v>
      </c>
      <c r="L131" s="12">
        <v>10.7</v>
      </c>
      <c r="M131" s="12">
        <v>5.54</v>
      </c>
    </row>
    <row r="132" spans="1:14" x14ac:dyDescent="0.15">
      <c r="A132" s="9">
        <v>1.7</v>
      </c>
      <c r="B132" s="12">
        <v>184</v>
      </c>
      <c r="C132" s="12">
        <v>153</v>
      </c>
      <c r="D132" s="12">
        <v>132</v>
      </c>
      <c r="E132" s="12">
        <v>106</v>
      </c>
      <c r="F132" s="12">
        <v>77</v>
      </c>
      <c r="G132" s="12">
        <v>58</v>
      </c>
      <c r="H132" s="12">
        <v>46.4</v>
      </c>
      <c r="I132" s="12">
        <v>36</v>
      </c>
      <c r="J132" s="12">
        <v>25.3</v>
      </c>
      <c r="K132" s="12">
        <v>17.600000000000001</v>
      </c>
      <c r="L132" s="12">
        <v>10.4</v>
      </c>
      <c r="M132" s="12">
        <v>5.44</v>
      </c>
    </row>
    <row r="133" spans="1:14" x14ac:dyDescent="0.15">
      <c r="A133" s="9">
        <v>1.75</v>
      </c>
      <c r="B133" s="12">
        <v>180</v>
      </c>
      <c r="C133" s="12">
        <v>150</v>
      </c>
      <c r="D133" s="12">
        <v>128</v>
      </c>
      <c r="E133" s="12">
        <v>103</v>
      </c>
      <c r="F133" s="12">
        <v>74.599999999999994</v>
      </c>
      <c r="G133" s="12">
        <v>56.3</v>
      </c>
      <c r="H133" s="12">
        <v>45</v>
      </c>
      <c r="I133" s="12">
        <v>34.6</v>
      </c>
      <c r="J133" s="12">
        <v>24.5</v>
      </c>
      <c r="K133" s="12">
        <v>16.8</v>
      </c>
      <c r="L133" s="12">
        <v>10.3</v>
      </c>
      <c r="M133" s="12">
        <v>5.28</v>
      </c>
    </row>
    <row r="134" spans="1:14" x14ac:dyDescent="0.15">
      <c r="A134" s="9">
        <v>1.8</v>
      </c>
      <c r="B134" s="12">
        <v>175</v>
      </c>
      <c r="C134" s="12">
        <v>146</v>
      </c>
      <c r="D134" s="12">
        <v>126</v>
      </c>
      <c r="E134" s="12">
        <v>97.8</v>
      </c>
      <c r="F134" s="12">
        <v>71.8</v>
      </c>
      <c r="G134" s="12">
        <v>54.2</v>
      </c>
      <c r="H134" s="12">
        <v>43.5</v>
      </c>
      <c r="I134" s="12">
        <v>33.4</v>
      </c>
      <c r="J134" s="12">
        <v>23.6</v>
      </c>
      <c r="K134" s="12">
        <v>16.5</v>
      </c>
      <c r="L134" s="12">
        <v>9.8800000000000008</v>
      </c>
      <c r="M134" s="12">
        <v>5.0999999999999996</v>
      </c>
    </row>
    <row r="136" spans="1:14" s="35" customFormat="1" x14ac:dyDescent="0.15">
      <c r="A136" s="33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</row>
    <row r="137" spans="1:14" x14ac:dyDescent="0.15">
      <c r="A137" s="32" t="s">
        <v>170</v>
      </c>
      <c r="B137" s="32" t="s">
        <v>156</v>
      </c>
      <c r="C137" s="32" t="s">
        <v>157</v>
      </c>
      <c r="D137" s="32" t="s">
        <v>158</v>
      </c>
      <c r="E137" s="32" t="s">
        <v>159</v>
      </c>
      <c r="F137" s="32" t="s">
        <v>160</v>
      </c>
      <c r="G137" s="32" t="s">
        <v>161</v>
      </c>
      <c r="H137" s="32" t="s">
        <v>162</v>
      </c>
      <c r="I137" s="32" t="s">
        <v>163</v>
      </c>
      <c r="J137" s="32" t="s">
        <v>164</v>
      </c>
      <c r="K137" s="32" t="s">
        <v>165</v>
      </c>
      <c r="L137" s="32" t="s">
        <v>166</v>
      </c>
      <c r="M137" s="32" t="s">
        <v>167</v>
      </c>
    </row>
    <row r="138" spans="1:14" x14ac:dyDescent="0.15">
      <c r="A138" s="9">
        <v>1.6</v>
      </c>
      <c r="B138" s="12">
        <v>250</v>
      </c>
      <c r="C138" s="12">
        <v>208</v>
      </c>
      <c r="D138" s="12">
        <v>167</v>
      </c>
      <c r="E138" s="12">
        <v>130</v>
      </c>
      <c r="F138" s="12">
        <v>103</v>
      </c>
      <c r="G138" s="12">
        <v>76.3</v>
      </c>
      <c r="H138" s="12">
        <v>62.8</v>
      </c>
      <c r="I138" s="12">
        <v>46.5</v>
      </c>
      <c r="J138" s="12">
        <v>33.700000000000003</v>
      </c>
      <c r="K138" s="12">
        <v>21.4</v>
      </c>
      <c r="L138" s="12">
        <v>13.6</v>
      </c>
      <c r="M138" s="12">
        <v>7.12</v>
      </c>
    </row>
    <row r="139" spans="1:14" x14ac:dyDescent="0.15">
      <c r="A139" s="9">
        <v>1.65</v>
      </c>
      <c r="B139" s="12">
        <v>242</v>
      </c>
      <c r="C139" s="12">
        <v>202</v>
      </c>
      <c r="D139" s="12">
        <v>160</v>
      </c>
      <c r="E139" s="12">
        <v>127</v>
      </c>
      <c r="F139" s="12">
        <v>100</v>
      </c>
      <c r="G139" s="12">
        <v>73.8</v>
      </c>
      <c r="H139" s="12">
        <v>60.3</v>
      </c>
      <c r="I139" s="12">
        <v>45.7</v>
      </c>
      <c r="J139" s="12">
        <v>33.299999999999997</v>
      </c>
      <c r="K139" s="12">
        <v>21.2</v>
      </c>
      <c r="L139" s="12">
        <v>13.4</v>
      </c>
      <c r="M139" s="12">
        <v>7.02</v>
      </c>
    </row>
    <row r="140" spans="1:14" x14ac:dyDescent="0.15">
      <c r="A140" s="9">
        <v>1.7</v>
      </c>
      <c r="B140" s="12">
        <v>235</v>
      </c>
      <c r="C140" s="12">
        <v>196</v>
      </c>
      <c r="D140" s="12">
        <v>155</v>
      </c>
      <c r="E140" s="12">
        <v>120</v>
      </c>
      <c r="F140" s="12">
        <v>97.7</v>
      </c>
      <c r="G140" s="12">
        <v>71.8</v>
      </c>
      <c r="H140" s="12">
        <v>58.6</v>
      </c>
      <c r="I140" s="12">
        <v>45</v>
      </c>
      <c r="J140" s="12">
        <v>33</v>
      </c>
      <c r="K140" s="12">
        <v>21</v>
      </c>
      <c r="L140" s="12">
        <v>13.2</v>
      </c>
      <c r="M140" s="12">
        <v>6.88</v>
      </c>
    </row>
    <row r="141" spans="1:14" x14ac:dyDescent="0.15">
      <c r="A141" s="9">
        <v>1.75</v>
      </c>
      <c r="B141" s="12">
        <v>224</v>
      </c>
      <c r="C141" s="12">
        <v>187</v>
      </c>
      <c r="D141" s="12">
        <v>148</v>
      </c>
      <c r="E141" s="12">
        <v>117</v>
      </c>
      <c r="F141" s="12">
        <v>94</v>
      </c>
      <c r="G141" s="12">
        <v>69.5</v>
      </c>
      <c r="H141" s="12">
        <v>56.6</v>
      </c>
      <c r="I141" s="12">
        <v>44.2</v>
      </c>
      <c r="J141" s="12">
        <v>32.6</v>
      </c>
      <c r="K141" s="12">
        <v>20.8</v>
      </c>
      <c r="L141" s="12">
        <v>13</v>
      </c>
      <c r="M141" s="12">
        <v>6.8</v>
      </c>
    </row>
    <row r="142" spans="1:14" x14ac:dyDescent="0.15">
      <c r="A142" s="9">
        <v>1.8</v>
      </c>
      <c r="B142" s="12">
        <v>212</v>
      </c>
      <c r="C142" s="12">
        <v>177</v>
      </c>
      <c r="D142" s="12">
        <v>140</v>
      </c>
      <c r="E142" s="12">
        <v>110</v>
      </c>
      <c r="F142" s="12">
        <v>89.8</v>
      </c>
      <c r="G142" s="12">
        <v>66.8</v>
      </c>
      <c r="H142" s="12">
        <v>54.5</v>
      </c>
      <c r="I142" s="12">
        <v>43.5</v>
      </c>
      <c r="J142" s="12">
        <v>32.200000000000003</v>
      </c>
      <c r="K142" s="12">
        <v>20.6</v>
      </c>
      <c r="L142" s="12">
        <v>12.8</v>
      </c>
      <c r="M142" s="12">
        <v>6.68</v>
      </c>
    </row>
    <row r="144" spans="1:14" s="35" customFormat="1" x14ac:dyDescent="0.15">
      <c r="A144" s="33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</row>
    <row r="145" spans="1:14" x14ac:dyDescent="0.15">
      <c r="A145" s="32" t="s">
        <v>171</v>
      </c>
      <c r="B145" s="32" t="s">
        <v>156</v>
      </c>
      <c r="C145" s="32" t="s">
        <v>157</v>
      </c>
      <c r="D145" s="32" t="s">
        <v>158</v>
      </c>
      <c r="E145" s="32" t="s">
        <v>159</v>
      </c>
      <c r="F145" s="32" t="s">
        <v>160</v>
      </c>
      <c r="G145" s="32" t="s">
        <v>161</v>
      </c>
      <c r="H145" s="32" t="s">
        <v>162</v>
      </c>
      <c r="I145" s="32" t="s">
        <v>163</v>
      </c>
      <c r="J145" s="32" t="s">
        <v>164</v>
      </c>
      <c r="K145" s="32" t="s">
        <v>165</v>
      </c>
      <c r="L145" s="32" t="s">
        <v>166</v>
      </c>
      <c r="M145" s="32" t="s">
        <v>167</v>
      </c>
    </row>
    <row r="146" spans="1:14" x14ac:dyDescent="0.15">
      <c r="A146" s="9">
        <v>1.6</v>
      </c>
      <c r="B146" s="12">
        <v>298</v>
      </c>
      <c r="C146" s="12">
        <v>248</v>
      </c>
      <c r="D146" s="12">
        <v>203</v>
      </c>
      <c r="E146" s="12">
        <v>150</v>
      </c>
      <c r="F146" s="12">
        <v>114</v>
      </c>
      <c r="G146" s="12">
        <v>86.3</v>
      </c>
      <c r="H146" s="12">
        <v>69.400000000000006</v>
      </c>
      <c r="I146" s="12">
        <v>55.5</v>
      </c>
      <c r="J146" s="12">
        <v>39.6</v>
      </c>
      <c r="K146" s="12">
        <v>26.5</v>
      </c>
      <c r="L146" s="12">
        <v>16.2</v>
      </c>
      <c r="M146" s="12">
        <v>8.25</v>
      </c>
    </row>
    <row r="147" spans="1:14" x14ac:dyDescent="0.15">
      <c r="A147" s="9">
        <v>1.65</v>
      </c>
      <c r="B147" s="12">
        <v>295</v>
      </c>
      <c r="C147" s="12">
        <v>246</v>
      </c>
      <c r="D147" s="12">
        <v>200</v>
      </c>
      <c r="E147" s="12">
        <v>148</v>
      </c>
      <c r="F147" s="12">
        <v>112</v>
      </c>
      <c r="G147" s="12">
        <v>85.3</v>
      </c>
      <c r="H147" s="12">
        <v>68.7</v>
      </c>
      <c r="I147" s="12">
        <v>55</v>
      </c>
      <c r="J147" s="12">
        <v>39.4</v>
      </c>
      <c r="K147" s="12">
        <v>26.3</v>
      </c>
      <c r="L147" s="12">
        <v>16</v>
      </c>
      <c r="M147" s="12">
        <v>8.1999999999999993</v>
      </c>
    </row>
    <row r="148" spans="1:14" x14ac:dyDescent="0.15">
      <c r="A148" s="9">
        <v>1.7</v>
      </c>
      <c r="B148" s="12">
        <v>290</v>
      </c>
      <c r="C148" s="12">
        <v>242</v>
      </c>
      <c r="D148" s="12">
        <v>196</v>
      </c>
      <c r="E148" s="12">
        <v>147</v>
      </c>
      <c r="F148" s="12">
        <v>110</v>
      </c>
      <c r="G148" s="12">
        <v>84.2</v>
      </c>
      <c r="H148" s="12">
        <v>68.3</v>
      </c>
      <c r="I148" s="12">
        <v>54.7</v>
      </c>
      <c r="J148" s="12">
        <v>39.200000000000003</v>
      </c>
      <c r="K148" s="12">
        <v>26.3</v>
      </c>
      <c r="L148" s="12">
        <v>15.8</v>
      </c>
      <c r="M148" s="12">
        <v>8.17</v>
      </c>
    </row>
    <row r="149" spans="1:14" x14ac:dyDescent="0.15">
      <c r="A149" s="9">
        <v>1.75</v>
      </c>
      <c r="B149" s="12">
        <v>280</v>
      </c>
      <c r="C149" s="12">
        <v>234</v>
      </c>
      <c r="D149" s="12">
        <v>193</v>
      </c>
      <c r="E149" s="12">
        <v>145</v>
      </c>
      <c r="F149" s="12">
        <v>108</v>
      </c>
      <c r="G149" s="12">
        <v>83</v>
      </c>
      <c r="H149" s="12">
        <v>67.7</v>
      </c>
      <c r="I149" s="12">
        <v>54</v>
      </c>
      <c r="J149" s="12">
        <v>39</v>
      </c>
      <c r="K149" s="12">
        <v>26</v>
      </c>
      <c r="L149" s="12">
        <v>15.6</v>
      </c>
      <c r="M149" s="12">
        <v>8.14</v>
      </c>
    </row>
    <row r="150" spans="1:14" x14ac:dyDescent="0.15">
      <c r="A150" s="9">
        <v>1.8</v>
      </c>
      <c r="B150" s="12">
        <v>268</v>
      </c>
      <c r="C150" s="12">
        <v>224</v>
      </c>
      <c r="D150" s="12">
        <v>187</v>
      </c>
      <c r="E150" s="12">
        <v>140</v>
      </c>
      <c r="F150" s="12">
        <v>107</v>
      </c>
      <c r="G150" s="12">
        <v>81.2</v>
      </c>
      <c r="H150" s="12">
        <v>66.900000000000006</v>
      </c>
      <c r="I150" s="12">
        <v>53.2</v>
      </c>
      <c r="J150" s="12">
        <v>38.700000000000003</v>
      </c>
      <c r="K150" s="12">
        <v>25.8</v>
      </c>
      <c r="L150" s="12">
        <v>15.4</v>
      </c>
      <c r="M150" s="12">
        <v>8.07</v>
      </c>
    </row>
    <row r="152" spans="1:14" s="35" customFormat="1" x14ac:dyDescent="0.15">
      <c r="A152" s="33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</row>
    <row r="153" spans="1:14" x14ac:dyDescent="0.15">
      <c r="A153" s="32" t="s">
        <v>172</v>
      </c>
      <c r="B153" s="32" t="s">
        <v>156</v>
      </c>
      <c r="C153" s="32" t="s">
        <v>157</v>
      </c>
      <c r="D153" s="32" t="s">
        <v>158</v>
      </c>
      <c r="E153" s="32" t="s">
        <v>159</v>
      </c>
      <c r="F153" s="32" t="s">
        <v>160</v>
      </c>
      <c r="G153" s="32" t="s">
        <v>161</v>
      </c>
      <c r="H153" s="32" t="s">
        <v>162</v>
      </c>
      <c r="I153" s="32" t="s">
        <v>163</v>
      </c>
      <c r="J153" s="32" t="s">
        <v>164</v>
      </c>
      <c r="K153" s="32" t="s">
        <v>165</v>
      </c>
      <c r="L153" s="32" t="s">
        <v>166</v>
      </c>
      <c r="M153" s="32" t="s">
        <v>167</v>
      </c>
    </row>
    <row r="154" spans="1:14" x14ac:dyDescent="0.15">
      <c r="A154" s="9">
        <v>1.6</v>
      </c>
      <c r="B154" s="12">
        <v>375</v>
      </c>
      <c r="C154" s="12">
        <v>316</v>
      </c>
      <c r="D154" s="12">
        <v>258</v>
      </c>
      <c r="E154" s="12">
        <v>196</v>
      </c>
      <c r="F154" s="12">
        <v>145</v>
      </c>
      <c r="G154" s="12">
        <v>112</v>
      </c>
      <c r="H154" s="12">
        <v>84.5</v>
      </c>
      <c r="I154" s="12">
        <v>66.8</v>
      </c>
      <c r="J154" s="12">
        <v>50</v>
      </c>
      <c r="K154" s="12">
        <v>33.299999999999997</v>
      </c>
      <c r="L154" s="12">
        <v>20.5</v>
      </c>
      <c r="M154" s="12">
        <v>10.5</v>
      </c>
    </row>
    <row r="155" spans="1:14" x14ac:dyDescent="0.15">
      <c r="A155" s="9">
        <v>1.65</v>
      </c>
      <c r="B155" s="12">
        <v>364</v>
      </c>
      <c r="C155" s="12">
        <v>310</v>
      </c>
      <c r="D155" s="12">
        <v>253</v>
      </c>
      <c r="E155" s="12">
        <v>193</v>
      </c>
      <c r="F155" s="12">
        <v>142</v>
      </c>
      <c r="G155" s="12">
        <v>110</v>
      </c>
      <c r="H155" s="12">
        <v>83.6</v>
      </c>
      <c r="I155" s="12">
        <v>66.400000000000006</v>
      </c>
      <c r="J155" s="12">
        <v>49.8</v>
      </c>
      <c r="K155" s="12">
        <v>33</v>
      </c>
      <c r="L155" s="12">
        <v>20.3</v>
      </c>
      <c r="M155" s="12">
        <v>10.4</v>
      </c>
    </row>
    <row r="156" spans="1:14" x14ac:dyDescent="0.15">
      <c r="A156" s="9">
        <v>1.7</v>
      </c>
      <c r="B156" s="12">
        <v>338</v>
      </c>
      <c r="C156" s="12">
        <v>302</v>
      </c>
      <c r="D156" s="12">
        <v>248</v>
      </c>
      <c r="E156" s="12">
        <v>188</v>
      </c>
      <c r="F156" s="12">
        <v>138</v>
      </c>
      <c r="G156" s="12">
        <v>108</v>
      </c>
      <c r="H156" s="12">
        <v>82.7</v>
      </c>
      <c r="I156" s="12">
        <v>65.7</v>
      </c>
      <c r="J156" s="12">
        <v>49.3</v>
      </c>
      <c r="K156" s="12">
        <v>32.799999999999997</v>
      </c>
      <c r="L156" s="12">
        <v>20</v>
      </c>
      <c r="M156" s="12">
        <v>10.3</v>
      </c>
    </row>
    <row r="157" spans="1:14" x14ac:dyDescent="0.15">
      <c r="A157" s="9">
        <v>1.75</v>
      </c>
      <c r="B157" s="12">
        <v>317</v>
      </c>
      <c r="C157" s="12">
        <v>282</v>
      </c>
      <c r="D157" s="12">
        <v>240</v>
      </c>
      <c r="E157" s="12">
        <v>184</v>
      </c>
      <c r="F157" s="12">
        <v>136</v>
      </c>
      <c r="G157" s="12">
        <v>106</v>
      </c>
      <c r="H157" s="12">
        <v>81.7</v>
      </c>
      <c r="I157" s="12">
        <v>65</v>
      </c>
      <c r="J157" s="12">
        <v>48.8</v>
      </c>
      <c r="K157" s="12">
        <v>32.6</v>
      </c>
      <c r="L157" s="12">
        <v>19.8</v>
      </c>
      <c r="M157" s="12">
        <v>10.199999999999999</v>
      </c>
    </row>
    <row r="158" spans="1:14" x14ac:dyDescent="0.15">
      <c r="A158" s="9">
        <v>1.8</v>
      </c>
      <c r="B158" s="12">
        <v>293</v>
      </c>
      <c r="C158" s="12">
        <v>268</v>
      </c>
      <c r="D158" s="12">
        <v>230</v>
      </c>
      <c r="E158" s="12">
        <v>178</v>
      </c>
      <c r="F158" s="12">
        <v>133</v>
      </c>
      <c r="G158" s="12">
        <v>104</v>
      </c>
      <c r="H158" s="12">
        <v>80.2</v>
      </c>
      <c r="I158" s="12">
        <v>63.8</v>
      </c>
      <c r="J158" s="12">
        <v>48</v>
      </c>
      <c r="K158" s="12">
        <v>32.299999999999997</v>
      </c>
      <c r="L158" s="12">
        <v>19.600000000000001</v>
      </c>
      <c r="M158" s="12">
        <v>10</v>
      </c>
    </row>
    <row r="160" spans="1:14" s="35" customFormat="1" x14ac:dyDescent="0.15">
      <c r="A160" s="33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</row>
    <row r="161" spans="1:14" x14ac:dyDescent="0.15">
      <c r="A161" s="32" t="s">
        <v>173</v>
      </c>
      <c r="B161" s="32" t="s">
        <v>156</v>
      </c>
      <c r="C161" s="32" t="s">
        <v>157</v>
      </c>
      <c r="D161" s="32" t="s">
        <v>158</v>
      </c>
      <c r="E161" s="32" t="s">
        <v>159</v>
      </c>
      <c r="F161" s="32" t="s">
        <v>160</v>
      </c>
      <c r="G161" s="32" t="s">
        <v>161</v>
      </c>
      <c r="H161" s="32" t="s">
        <v>162</v>
      </c>
      <c r="I161" s="32" t="s">
        <v>163</v>
      </c>
      <c r="J161" s="32" t="s">
        <v>164</v>
      </c>
      <c r="K161" s="32" t="s">
        <v>165</v>
      </c>
      <c r="L161" s="32" t="s">
        <v>166</v>
      </c>
      <c r="M161" s="32" t="s">
        <v>167</v>
      </c>
    </row>
    <row r="162" spans="1:14" x14ac:dyDescent="0.15">
      <c r="A162" s="9">
        <v>1.6</v>
      </c>
      <c r="B162" s="12">
        <v>444</v>
      </c>
      <c r="C162" s="12">
        <v>370</v>
      </c>
      <c r="D162" s="12">
        <v>302</v>
      </c>
      <c r="E162" s="12">
        <v>237</v>
      </c>
      <c r="F162" s="12">
        <v>177</v>
      </c>
      <c r="G162" s="12">
        <v>135</v>
      </c>
      <c r="H162" s="12">
        <v>105</v>
      </c>
      <c r="I162" s="12">
        <v>82.8</v>
      </c>
      <c r="J162" s="12">
        <v>61.4</v>
      </c>
      <c r="K162" s="12">
        <v>40.299999999999997</v>
      </c>
      <c r="L162" s="12">
        <v>24.8</v>
      </c>
      <c r="M162" s="12">
        <v>13</v>
      </c>
    </row>
    <row r="163" spans="1:14" x14ac:dyDescent="0.15">
      <c r="A163" s="9">
        <v>1.65</v>
      </c>
      <c r="B163" s="12">
        <v>438</v>
      </c>
      <c r="C163" s="12">
        <v>365</v>
      </c>
      <c r="D163" s="12">
        <v>297</v>
      </c>
      <c r="E163" s="12">
        <v>232</v>
      </c>
      <c r="F163" s="12">
        <v>175</v>
      </c>
      <c r="G163" s="12">
        <v>132</v>
      </c>
      <c r="H163" s="12">
        <v>104</v>
      </c>
      <c r="I163" s="12">
        <v>81.8</v>
      </c>
      <c r="J163" s="12">
        <v>60.8</v>
      </c>
      <c r="K163" s="12">
        <v>39.799999999999997</v>
      </c>
      <c r="L163" s="12">
        <v>24.6</v>
      </c>
      <c r="M163" s="12">
        <v>12.8</v>
      </c>
    </row>
    <row r="164" spans="1:14" x14ac:dyDescent="0.15">
      <c r="A164" s="9">
        <v>1.7</v>
      </c>
      <c r="B164" s="12">
        <v>428</v>
      </c>
      <c r="C164" s="12">
        <v>357</v>
      </c>
      <c r="D164" s="12">
        <v>290</v>
      </c>
      <c r="E164" s="12">
        <v>227</v>
      </c>
      <c r="F164" s="12">
        <v>172</v>
      </c>
      <c r="G164" s="12">
        <v>128</v>
      </c>
      <c r="H164" s="12">
        <v>103</v>
      </c>
      <c r="I164" s="12">
        <v>80.8</v>
      </c>
      <c r="J164" s="12">
        <v>60.2</v>
      </c>
      <c r="K164" s="12">
        <v>39.5</v>
      </c>
      <c r="L164" s="12">
        <v>24.4</v>
      </c>
      <c r="M164" s="12">
        <v>12.6</v>
      </c>
    </row>
    <row r="165" spans="1:14" x14ac:dyDescent="0.15">
      <c r="A165" s="9">
        <v>1.75</v>
      </c>
      <c r="B165" s="12">
        <v>410</v>
      </c>
      <c r="C165" s="12">
        <v>342</v>
      </c>
      <c r="D165" s="12">
        <v>283</v>
      </c>
      <c r="E165" s="12">
        <v>222</v>
      </c>
      <c r="F165" s="12">
        <v>168</v>
      </c>
      <c r="G165" s="12">
        <v>127</v>
      </c>
      <c r="H165" s="12">
        <v>100</v>
      </c>
      <c r="I165" s="12">
        <v>80.2</v>
      </c>
      <c r="J165" s="12">
        <v>59.6</v>
      </c>
      <c r="K165" s="12">
        <v>39</v>
      </c>
      <c r="L165" s="12">
        <v>24.2</v>
      </c>
      <c r="M165" s="12">
        <v>12.5</v>
      </c>
    </row>
    <row r="166" spans="1:14" x14ac:dyDescent="0.15">
      <c r="A166" s="9">
        <v>1.8</v>
      </c>
      <c r="B166" s="12">
        <v>384</v>
      </c>
      <c r="C166" s="12">
        <v>320</v>
      </c>
      <c r="D166" s="12">
        <v>268</v>
      </c>
      <c r="E166" s="12">
        <v>215</v>
      </c>
      <c r="F166" s="12">
        <v>163</v>
      </c>
      <c r="G166" s="12">
        <v>123</v>
      </c>
      <c r="H166" s="12">
        <v>99</v>
      </c>
      <c r="I166" s="12">
        <v>78.7</v>
      </c>
      <c r="J166" s="12">
        <v>58.5</v>
      </c>
      <c r="K166" s="12">
        <v>38.5</v>
      </c>
      <c r="L166" s="12">
        <v>23.8</v>
      </c>
      <c r="M166" s="12">
        <v>12.3</v>
      </c>
    </row>
    <row r="168" spans="1:14" s="35" customFormat="1" x14ac:dyDescent="0.15">
      <c r="A168" s="33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</row>
    <row r="169" spans="1:14" x14ac:dyDescent="0.15">
      <c r="A169" s="32" t="s">
        <v>174</v>
      </c>
      <c r="B169" s="32" t="s">
        <v>156</v>
      </c>
      <c r="C169" s="32" t="s">
        <v>157</v>
      </c>
      <c r="D169" s="32" t="s">
        <v>158</v>
      </c>
      <c r="E169" s="32" t="s">
        <v>159</v>
      </c>
      <c r="F169" s="32" t="s">
        <v>160</v>
      </c>
      <c r="G169" s="32" t="s">
        <v>161</v>
      </c>
      <c r="H169" s="32" t="s">
        <v>162</v>
      </c>
      <c r="I169" s="32" t="s">
        <v>163</v>
      </c>
      <c r="J169" s="32" t="s">
        <v>164</v>
      </c>
      <c r="K169" s="32" t="s">
        <v>165</v>
      </c>
      <c r="L169" s="32" t="s">
        <v>166</v>
      </c>
      <c r="M169" s="32" t="s">
        <v>167</v>
      </c>
    </row>
    <row r="170" spans="1:14" x14ac:dyDescent="0.15">
      <c r="A170" s="9">
        <v>1.6</v>
      </c>
      <c r="B170" s="12">
        <v>538</v>
      </c>
      <c r="C170" s="12">
        <v>433</v>
      </c>
      <c r="D170" s="12">
        <v>330</v>
      </c>
      <c r="E170" s="12">
        <v>264</v>
      </c>
      <c r="F170" s="12">
        <v>198</v>
      </c>
      <c r="G170" s="12">
        <v>155</v>
      </c>
      <c r="H170" s="12">
        <v>128</v>
      </c>
      <c r="I170" s="12">
        <v>100</v>
      </c>
      <c r="J170" s="12">
        <v>76.8</v>
      </c>
      <c r="K170" s="12">
        <v>49.5</v>
      </c>
      <c r="L170" s="12">
        <v>28.8</v>
      </c>
      <c r="M170" s="12">
        <v>15</v>
      </c>
    </row>
    <row r="171" spans="1:14" x14ac:dyDescent="0.15">
      <c r="A171" s="9">
        <v>1.65</v>
      </c>
      <c r="B171" s="12">
        <v>525</v>
      </c>
      <c r="C171" s="12">
        <v>422</v>
      </c>
      <c r="D171" s="12">
        <v>320</v>
      </c>
      <c r="E171" s="12">
        <v>257</v>
      </c>
      <c r="F171" s="12">
        <v>193</v>
      </c>
      <c r="G171" s="12">
        <v>152</v>
      </c>
      <c r="H171" s="12">
        <v>125</v>
      </c>
      <c r="I171" s="12">
        <v>98.8</v>
      </c>
      <c r="J171" s="12">
        <v>76</v>
      </c>
      <c r="K171" s="12">
        <v>49</v>
      </c>
      <c r="L171" s="12">
        <v>28.7</v>
      </c>
      <c r="M171" s="12">
        <v>14.9</v>
      </c>
    </row>
    <row r="172" spans="1:14" x14ac:dyDescent="0.15">
      <c r="A172" s="9">
        <v>1.7</v>
      </c>
      <c r="B172" s="12">
        <v>508</v>
      </c>
      <c r="C172" s="12">
        <v>407</v>
      </c>
      <c r="D172" s="12">
        <v>312</v>
      </c>
      <c r="E172" s="12">
        <v>250</v>
      </c>
      <c r="F172" s="12">
        <v>188</v>
      </c>
      <c r="G172" s="12">
        <v>150</v>
      </c>
      <c r="H172" s="12">
        <v>124</v>
      </c>
      <c r="I172" s="12">
        <v>97.6</v>
      </c>
      <c r="J172" s="12">
        <v>75.400000000000006</v>
      </c>
      <c r="K172" s="12">
        <v>48.6</v>
      </c>
      <c r="L172" s="12">
        <v>28.6</v>
      </c>
      <c r="M172" s="12">
        <v>14.8</v>
      </c>
    </row>
    <row r="173" spans="1:14" x14ac:dyDescent="0.15">
      <c r="A173" s="9">
        <v>1.75</v>
      </c>
      <c r="B173" s="12">
        <v>484</v>
      </c>
      <c r="C173" s="12">
        <v>392</v>
      </c>
      <c r="D173" s="12">
        <v>300</v>
      </c>
      <c r="E173" s="12">
        <v>242</v>
      </c>
      <c r="F173" s="12">
        <v>185</v>
      </c>
      <c r="G173" s="12">
        <v>145</v>
      </c>
      <c r="H173" s="12">
        <v>122</v>
      </c>
      <c r="I173" s="12">
        <v>96</v>
      </c>
      <c r="J173" s="12">
        <v>74.7</v>
      </c>
      <c r="K173" s="12">
        <v>48</v>
      </c>
      <c r="L173" s="12">
        <v>28.5</v>
      </c>
      <c r="M173" s="12">
        <v>14.7</v>
      </c>
    </row>
    <row r="174" spans="1:14" x14ac:dyDescent="0.15">
      <c r="A174" s="9">
        <v>1.8</v>
      </c>
      <c r="B174" s="12">
        <v>433</v>
      </c>
      <c r="C174" s="12">
        <v>372</v>
      </c>
      <c r="D174" s="12">
        <v>288</v>
      </c>
      <c r="E174" s="12">
        <v>234</v>
      </c>
      <c r="F174" s="12">
        <v>180</v>
      </c>
      <c r="G174" s="12">
        <v>140</v>
      </c>
      <c r="H174" s="12">
        <v>118</v>
      </c>
      <c r="I174" s="12">
        <v>94.6</v>
      </c>
      <c r="J174" s="12">
        <v>73.599999999999994</v>
      </c>
      <c r="K174" s="12">
        <v>47.5</v>
      </c>
      <c r="L174" s="12">
        <v>27.2</v>
      </c>
      <c r="M174" s="12">
        <v>14.5</v>
      </c>
    </row>
    <row r="176" spans="1:14" s="35" customFormat="1" x14ac:dyDescent="0.15">
      <c r="A176" s="33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</row>
    <row r="177" spans="1:14" x14ac:dyDescent="0.15">
      <c r="A177" s="32" t="s">
        <v>175</v>
      </c>
      <c r="B177" s="32" t="s">
        <v>156</v>
      </c>
      <c r="C177" s="32" t="s">
        <v>157</v>
      </c>
      <c r="D177" s="32" t="s">
        <v>158</v>
      </c>
      <c r="E177" s="32" t="s">
        <v>159</v>
      </c>
      <c r="F177" s="32" t="s">
        <v>160</v>
      </c>
      <c r="G177" s="32" t="s">
        <v>161</v>
      </c>
      <c r="H177" s="32" t="s">
        <v>162</v>
      </c>
      <c r="I177" s="32" t="s">
        <v>163</v>
      </c>
      <c r="J177" s="32" t="s">
        <v>164</v>
      </c>
      <c r="K177" s="32" t="s">
        <v>165</v>
      </c>
      <c r="L177" s="32" t="s">
        <v>166</v>
      </c>
      <c r="M177" s="32" t="s">
        <v>167</v>
      </c>
    </row>
    <row r="178" spans="1:14" x14ac:dyDescent="0.15">
      <c r="A178" s="9">
        <v>1.6</v>
      </c>
      <c r="B178" s="12">
        <v>690</v>
      </c>
      <c r="C178" s="12">
        <v>575</v>
      </c>
      <c r="D178" s="12">
        <v>453</v>
      </c>
      <c r="E178" s="12">
        <v>350</v>
      </c>
      <c r="F178" s="12">
        <v>262</v>
      </c>
      <c r="G178" s="12">
        <v>208</v>
      </c>
      <c r="H178" s="12">
        <v>164</v>
      </c>
      <c r="I178" s="12">
        <v>132</v>
      </c>
      <c r="J178" s="12">
        <v>101</v>
      </c>
      <c r="K178" s="12">
        <v>66.2</v>
      </c>
      <c r="L178" s="12">
        <v>40</v>
      </c>
      <c r="M178" s="12">
        <v>21</v>
      </c>
    </row>
    <row r="179" spans="1:14" x14ac:dyDescent="0.15">
      <c r="A179" s="9">
        <v>1.65</v>
      </c>
      <c r="B179" s="12">
        <v>674</v>
      </c>
      <c r="C179" s="12">
        <v>560</v>
      </c>
      <c r="D179" s="12">
        <v>445</v>
      </c>
      <c r="E179" s="12">
        <v>342</v>
      </c>
      <c r="F179" s="12">
        <v>256</v>
      </c>
      <c r="G179" s="12">
        <v>204</v>
      </c>
      <c r="H179" s="12">
        <v>162</v>
      </c>
      <c r="I179" s="12">
        <v>130</v>
      </c>
      <c r="J179" s="12">
        <v>100</v>
      </c>
      <c r="K179" s="12">
        <v>65.8</v>
      </c>
      <c r="L179" s="12">
        <v>39.700000000000003</v>
      </c>
      <c r="M179" s="12">
        <v>20.8</v>
      </c>
    </row>
    <row r="180" spans="1:14" x14ac:dyDescent="0.15">
      <c r="A180" s="9">
        <v>1.7</v>
      </c>
      <c r="B180" s="12">
        <v>650</v>
      </c>
      <c r="C180" s="12">
        <v>543</v>
      </c>
      <c r="D180" s="12">
        <v>432</v>
      </c>
      <c r="E180" s="12">
        <v>334</v>
      </c>
      <c r="F180" s="12">
        <v>252</v>
      </c>
      <c r="G180" s="12">
        <v>200</v>
      </c>
      <c r="H180" s="12">
        <v>160</v>
      </c>
      <c r="I180" s="12">
        <v>128</v>
      </c>
      <c r="J180" s="12">
        <v>99</v>
      </c>
      <c r="K180" s="12">
        <v>65.3</v>
      </c>
      <c r="L180" s="12">
        <v>39.5</v>
      </c>
      <c r="M180" s="12">
        <v>20.6</v>
      </c>
    </row>
    <row r="181" spans="1:14" x14ac:dyDescent="0.15">
      <c r="A181" s="9">
        <v>1.75</v>
      </c>
      <c r="B181" s="12">
        <v>614</v>
      </c>
      <c r="C181" s="12">
        <v>515</v>
      </c>
      <c r="D181" s="12">
        <v>415</v>
      </c>
      <c r="E181" s="12">
        <v>322</v>
      </c>
      <c r="F181" s="12">
        <v>246</v>
      </c>
      <c r="G181" s="12">
        <v>198</v>
      </c>
      <c r="H181" s="12">
        <v>160</v>
      </c>
      <c r="I181" s="12">
        <v>127</v>
      </c>
      <c r="J181" s="12">
        <v>98.7</v>
      </c>
      <c r="K181" s="12">
        <v>64.7</v>
      </c>
      <c r="L181" s="12">
        <v>39.299999999999997</v>
      </c>
      <c r="M181" s="12">
        <v>20.399999999999999</v>
      </c>
    </row>
    <row r="182" spans="1:14" x14ac:dyDescent="0.15">
      <c r="A182" s="9">
        <v>1.8</v>
      </c>
      <c r="B182" s="12">
        <v>570</v>
      </c>
      <c r="C182" s="12">
        <v>485</v>
      </c>
      <c r="D182" s="12">
        <v>393</v>
      </c>
      <c r="E182" s="12">
        <v>306</v>
      </c>
      <c r="F182" s="12">
        <v>238</v>
      </c>
      <c r="G182" s="12">
        <v>192</v>
      </c>
      <c r="H182" s="12">
        <v>157</v>
      </c>
      <c r="I182" s="12">
        <v>126</v>
      </c>
      <c r="J182" s="12">
        <v>96.6</v>
      </c>
      <c r="K182" s="12">
        <v>64</v>
      </c>
      <c r="L182" s="12">
        <v>39</v>
      </c>
      <c r="M182" s="12">
        <v>20</v>
      </c>
    </row>
    <row r="184" spans="1:14" s="35" customFormat="1" x14ac:dyDescent="0.15">
      <c r="A184" s="33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</row>
    <row r="185" spans="1:14" x14ac:dyDescent="0.15">
      <c r="A185" s="32" t="s">
        <v>176</v>
      </c>
      <c r="B185" s="32" t="s">
        <v>177</v>
      </c>
      <c r="C185" s="32" t="s">
        <v>156</v>
      </c>
      <c r="D185" s="32" t="s">
        <v>157</v>
      </c>
      <c r="E185" s="32" t="s">
        <v>158</v>
      </c>
      <c r="F185" s="32" t="s">
        <v>159</v>
      </c>
      <c r="G185" s="32" t="s">
        <v>160</v>
      </c>
      <c r="H185" s="32" t="s">
        <v>161</v>
      </c>
      <c r="I185" s="32" t="s">
        <v>162</v>
      </c>
      <c r="J185" s="32" t="s">
        <v>163</v>
      </c>
      <c r="K185" s="32" t="s">
        <v>164</v>
      </c>
      <c r="L185" s="32" t="s">
        <v>165</v>
      </c>
      <c r="M185" s="32" t="s">
        <v>166</v>
      </c>
      <c r="N185" s="32" t="s">
        <v>167</v>
      </c>
    </row>
    <row r="186" spans="1:14" x14ac:dyDescent="0.15">
      <c r="A186" s="9">
        <v>1.6</v>
      </c>
      <c r="B186" s="12">
        <v>1106</v>
      </c>
      <c r="C186" s="12">
        <v>828</v>
      </c>
      <c r="D186" s="12">
        <v>690</v>
      </c>
      <c r="E186" s="12">
        <v>560</v>
      </c>
      <c r="F186" s="12">
        <v>450</v>
      </c>
      <c r="G186" s="12">
        <v>350</v>
      </c>
      <c r="H186" s="12">
        <v>265</v>
      </c>
      <c r="I186" s="12">
        <v>207</v>
      </c>
      <c r="J186" s="12">
        <v>162</v>
      </c>
      <c r="K186" s="12">
        <v>126</v>
      </c>
      <c r="L186" s="12">
        <v>80.400000000000006</v>
      </c>
      <c r="M186" s="12">
        <v>49.5</v>
      </c>
      <c r="N186" s="12">
        <v>25.8</v>
      </c>
    </row>
    <row r="187" spans="1:14" x14ac:dyDescent="0.15">
      <c r="A187" s="9">
        <v>1.65</v>
      </c>
      <c r="B187" s="12">
        <v>1079</v>
      </c>
      <c r="C187" s="12">
        <v>804</v>
      </c>
      <c r="D187" s="12">
        <v>670</v>
      </c>
      <c r="E187" s="12">
        <v>548</v>
      </c>
      <c r="F187" s="12">
        <v>440</v>
      </c>
      <c r="G187" s="12">
        <v>343</v>
      </c>
      <c r="H187" s="12">
        <v>260</v>
      </c>
      <c r="I187" s="12">
        <v>205</v>
      </c>
      <c r="J187" s="12">
        <v>160</v>
      </c>
      <c r="K187" s="12">
        <v>125</v>
      </c>
      <c r="L187" s="12">
        <v>79.5</v>
      </c>
      <c r="M187" s="12">
        <v>49.4</v>
      </c>
      <c r="N187" s="12">
        <v>25.7</v>
      </c>
    </row>
    <row r="188" spans="1:14" x14ac:dyDescent="0.15">
      <c r="A188" s="9">
        <v>1.7</v>
      </c>
      <c r="B188" s="12">
        <v>1035</v>
      </c>
      <c r="C188" s="12">
        <v>784</v>
      </c>
      <c r="D188" s="12">
        <v>653</v>
      </c>
      <c r="E188" s="12">
        <v>534</v>
      </c>
      <c r="F188" s="12">
        <v>427</v>
      </c>
      <c r="G188" s="12">
        <v>334</v>
      </c>
      <c r="H188" s="12">
        <v>255</v>
      </c>
      <c r="I188" s="12">
        <v>202</v>
      </c>
      <c r="J188" s="12">
        <v>158</v>
      </c>
      <c r="K188" s="12">
        <v>124</v>
      </c>
      <c r="L188" s="12">
        <v>78.7</v>
      </c>
      <c r="M188" s="12">
        <v>49.3</v>
      </c>
      <c r="N188" s="12">
        <v>25.6</v>
      </c>
    </row>
    <row r="189" spans="1:14" x14ac:dyDescent="0.15">
      <c r="A189" s="9">
        <v>1.75</v>
      </c>
      <c r="B189" s="12">
        <v>984.1</v>
      </c>
      <c r="C189" s="12">
        <v>756</v>
      </c>
      <c r="D189" s="12">
        <v>630</v>
      </c>
      <c r="E189" s="12">
        <v>516</v>
      </c>
      <c r="F189" s="12">
        <v>412</v>
      </c>
      <c r="G189" s="12">
        <v>320</v>
      </c>
      <c r="H189" s="12">
        <v>247</v>
      </c>
      <c r="I189" s="12">
        <v>198</v>
      </c>
      <c r="J189" s="12">
        <v>157</v>
      </c>
      <c r="K189" s="12">
        <v>123</v>
      </c>
      <c r="L189" s="12">
        <v>77.599999999999994</v>
      </c>
      <c r="M189" s="12">
        <v>49</v>
      </c>
      <c r="N189" s="12">
        <v>25.6</v>
      </c>
    </row>
    <row r="190" spans="1:14" x14ac:dyDescent="0.15">
      <c r="A190" s="9">
        <v>1.8</v>
      </c>
      <c r="B190" s="12">
        <v>882.3</v>
      </c>
      <c r="C190" s="12">
        <v>726</v>
      </c>
      <c r="D190" s="12">
        <v>605</v>
      </c>
      <c r="E190" s="12">
        <v>495</v>
      </c>
      <c r="F190" s="12">
        <v>397</v>
      </c>
      <c r="G190" s="12">
        <v>308</v>
      </c>
      <c r="H190" s="12">
        <v>237</v>
      </c>
      <c r="I190" s="12">
        <v>195</v>
      </c>
      <c r="J190" s="12">
        <v>155</v>
      </c>
      <c r="K190" s="12">
        <v>122</v>
      </c>
      <c r="L190" s="12">
        <v>76.3</v>
      </c>
      <c r="M190" s="12">
        <v>48.8</v>
      </c>
      <c r="N190" s="12">
        <v>25.4</v>
      </c>
    </row>
    <row r="192" spans="1:14" s="35" customFormat="1" x14ac:dyDescent="0.15">
      <c r="A192" s="33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</row>
    <row r="193" spans="1:15" x14ac:dyDescent="0.15">
      <c r="A193" s="32" t="s">
        <v>178</v>
      </c>
      <c r="B193" s="32" t="s">
        <v>19</v>
      </c>
      <c r="C193" s="32" t="s">
        <v>179</v>
      </c>
      <c r="D193" s="32" t="s">
        <v>180</v>
      </c>
      <c r="E193" s="32" t="s">
        <v>181</v>
      </c>
      <c r="F193" s="32" t="s">
        <v>182</v>
      </c>
      <c r="G193" s="32" t="s">
        <v>183</v>
      </c>
      <c r="H193" s="32" t="s">
        <v>184</v>
      </c>
      <c r="I193" s="32" t="s">
        <v>185</v>
      </c>
      <c r="J193" s="32" t="s">
        <v>186</v>
      </c>
      <c r="K193" s="32" t="s">
        <v>187</v>
      </c>
      <c r="L193" s="32" t="s">
        <v>188</v>
      </c>
      <c r="M193" s="32" t="s">
        <v>189</v>
      </c>
      <c r="N193" s="32" t="s">
        <v>190</v>
      </c>
      <c r="O193" s="32" t="s">
        <v>191</v>
      </c>
    </row>
    <row r="194" spans="1:15" x14ac:dyDescent="0.15">
      <c r="A194" s="9">
        <v>1.85</v>
      </c>
      <c r="B194" s="12">
        <v>130.19999999999999</v>
      </c>
      <c r="C194" s="12">
        <v>98.1</v>
      </c>
      <c r="D194" s="12">
        <v>81.8</v>
      </c>
      <c r="E194" s="12">
        <v>69.400000000000006</v>
      </c>
      <c r="F194" s="12">
        <v>53.9</v>
      </c>
      <c r="G194" s="12">
        <v>35.6</v>
      </c>
      <c r="H194" s="12">
        <v>27</v>
      </c>
      <c r="I194" s="12">
        <v>21.8</v>
      </c>
      <c r="J194" s="12">
        <v>16.399999999999999</v>
      </c>
      <c r="K194" s="12">
        <v>13.2</v>
      </c>
      <c r="L194" s="12">
        <v>11.1</v>
      </c>
      <c r="M194" s="12">
        <v>7.65</v>
      </c>
      <c r="N194" s="12">
        <v>6.38</v>
      </c>
      <c r="O194" s="12">
        <v>3.54</v>
      </c>
    </row>
    <row r="195" spans="1:15" x14ac:dyDescent="0.15">
      <c r="A195" s="9">
        <v>1.8</v>
      </c>
      <c r="B195" s="12">
        <v>149.5</v>
      </c>
      <c r="C195" s="12">
        <v>114.3</v>
      </c>
      <c r="D195" s="12">
        <v>94.1</v>
      </c>
      <c r="E195" s="12">
        <v>79.2</v>
      </c>
      <c r="F195" s="12">
        <v>60.4</v>
      </c>
      <c r="G195" s="12">
        <v>39.1</v>
      </c>
      <c r="H195" s="12">
        <v>29.4</v>
      </c>
      <c r="I195" s="12">
        <v>23.6</v>
      </c>
      <c r="J195" s="12">
        <v>17.7</v>
      </c>
      <c r="K195" s="12">
        <v>14.2</v>
      </c>
      <c r="L195" s="12">
        <v>11.9</v>
      </c>
      <c r="M195" s="12">
        <v>8.17</v>
      </c>
      <c r="N195" s="12">
        <v>6.8</v>
      </c>
      <c r="O195" s="12">
        <v>3.73</v>
      </c>
    </row>
    <row r="196" spans="1:15" x14ac:dyDescent="0.15">
      <c r="A196" s="9">
        <v>1.75</v>
      </c>
      <c r="B196" s="12">
        <v>160.69999999999999</v>
      </c>
      <c r="C196" s="12">
        <v>121.1</v>
      </c>
      <c r="D196" s="12">
        <v>98.5</v>
      </c>
      <c r="E196" s="12">
        <v>82.3</v>
      </c>
      <c r="F196" s="12">
        <v>62.6</v>
      </c>
      <c r="G196" s="12">
        <v>40.299999999999997</v>
      </c>
      <c r="H196" s="12">
        <v>30.2</v>
      </c>
      <c r="I196" s="12">
        <v>24.1</v>
      </c>
      <c r="J196" s="12">
        <v>18.100000000000001</v>
      </c>
      <c r="K196" s="12">
        <v>14.5</v>
      </c>
      <c r="L196" s="12">
        <v>12.1</v>
      </c>
      <c r="M196" s="12">
        <v>8.3000000000000007</v>
      </c>
      <c r="N196" s="12">
        <v>6.9</v>
      </c>
      <c r="O196" s="12">
        <v>3.77</v>
      </c>
    </row>
    <row r="197" spans="1:15" x14ac:dyDescent="0.15">
      <c r="A197" s="9">
        <v>1.7</v>
      </c>
      <c r="B197" s="12">
        <v>171.2</v>
      </c>
      <c r="C197" s="12">
        <v>127.4</v>
      </c>
      <c r="D197" s="12">
        <v>102.9</v>
      </c>
      <c r="E197" s="12">
        <v>85.7</v>
      </c>
      <c r="F197" s="12">
        <v>64.7</v>
      </c>
      <c r="G197" s="12">
        <v>41.5</v>
      </c>
      <c r="H197" s="12">
        <v>31</v>
      </c>
      <c r="I197" s="12">
        <v>24.8</v>
      </c>
      <c r="J197" s="12">
        <v>18.5</v>
      </c>
      <c r="K197" s="12">
        <v>14.8</v>
      </c>
      <c r="L197" s="12">
        <v>12.4</v>
      </c>
      <c r="M197" s="12">
        <v>8.43</v>
      </c>
      <c r="N197" s="12">
        <v>6.99</v>
      </c>
      <c r="O197" s="12">
        <v>3.82</v>
      </c>
    </row>
    <row r="198" spans="1:15" x14ac:dyDescent="0.15">
      <c r="A198" s="31">
        <v>1.67</v>
      </c>
      <c r="B198" s="12">
        <v>177</v>
      </c>
      <c r="C198" s="12">
        <v>131.1</v>
      </c>
      <c r="D198" s="12">
        <v>106.5</v>
      </c>
      <c r="E198" s="12">
        <v>87.6</v>
      </c>
      <c r="F198" s="12">
        <v>66</v>
      </c>
      <c r="G198" s="12">
        <v>42.1</v>
      </c>
      <c r="H198" s="12">
        <v>31.4</v>
      </c>
      <c r="I198" s="12">
        <v>25.1</v>
      </c>
      <c r="J198" s="12">
        <v>18.8</v>
      </c>
      <c r="K198" s="12">
        <v>14.9</v>
      </c>
      <c r="L198" s="12">
        <v>12.5</v>
      </c>
      <c r="M198" s="12">
        <v>8.51</v>
      </c>
      <c r="N198" s="12">
        <v>7.05</v>
      </c>
      <c r="O198" s="12">
        <v>3.84</v>
      </c>
    </row>
    <row r="199" spans="1:15" x14ac:dyDescent="0.15">
      <c r="A199" s="31">
        <v>1.6</v>
      </c>
      <c r="B199" s="12">
        <v>190.2</v>
      </c>
      <c r="C199" s="12">
        <v>138.9</v>
      </c>
      <c r="D199" s="12">
        <v>111.1</v>
      </c>
      <c r="E199" s="12">
        <v>91.8</v>
      </c>
      <c r="F199" s="12">
        <v>68.900000000000006</v>
      </c>
      <c r="G199" s="12">
        <v>43.8</v>
      </c>
      <c r="H199" s="12">
        <v>32.6</v>
      </c>
      <c r="I199" s="12">
        <v>26</v>
      </c>
      <c r="J199" s="12">
        <v>19.3</v>
      </c>
      <c r="K199" s="12">
        <v>15.4</v>
      </c>
      <c r="L199" s="12">
        <v>12.8</v>
      </c>
      <c r="M199" s="12">
        <v>8.68</v>
      </c>
      <c r="N199" s="12">
        <v>7.18</v>
      </c>
      <c r="O199" s="12">
        <v>3.91</v>
      </c>
    </row>
    <row r="200" spans="1:15" s="35" customFormat="1" x14ac:dyDescent="0.15">
      <c r="A200" s="33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</row>
    <row r="201" spans="1:15" x14ac:dyDescent="0.15">
      <c r="A201" s="32" t="s">
        <v>192</v>
      </c>
      <c r="B201" s="32" t="s">
        <v>19</v>
      </c>
      <c r="C201" s="32" t="s">
        <v>179</v>
      </c>
      <c r="D201" s="32" t="s">
        <v>180</v>
      </c>
      <c r="E201" s="32" t="s">
        <v>181</v>
      </c>
      <c r="F201" s="32" t="s">
        <v>182</v>
      </c>
      <c r="G201" s="32" t="s">
        <v>183</v>
      </c>
      <c r="H201" s="32" t="s">
        <v>184</v>
      </c>
      <c r="I201" s="32" t="s">
        <v>185</v>
      </c>
      <c r="J201" s="32" t="s">
        <v>186</v>
      </c>
      <c r="K201" s="32" t="s">
        <v>187</v>
      </c>
      <c r="L201" s="32" t="s">
        <v>188</v>
      </c>
      <c r="M201" s="32" t="s">
        <v>189</v>
      </c>
      <c r="N201" s="32" t="s">
        <v>190</v>
      </c>
      <c r="O201" s="32" t="s">
        <v>191</v>
      </c>
    </row>
    <row r="202" spans="1:15" x14ac:dyDescent="0.15">
      <c r="A202" s="9">
        <v>1.85</v>
      </c>
      <c r="B202" s="9">
        <v>171.4</v>
      </c>
      <c r="C202" s="9">
        <v>129.1</v>
      </c>
      <c r="D202" s="9">
        <v>107.6</v>
      </c>
      <c r="E202" s="9">
        <v>91.3</v>
      </c>
      <c r="F202" s="9">
        <v>70.900000000000006</v>
      </c>
      <c r="G202" s="9">
        <v>46.8</v>
      </c>
      <c r="H202" s="9">
        <v>35.5</v>
      </c>
      <c r="I202" s="9">
        <v>28.6</v>
      </c>
      <c r="J202" s="9">
        <v>21.6</v>
      </c>
      <c r="K202" s="9">
        <v>17.3</v>
      </c>
      <c r="L202" s="9">
        <v>14.6</v>
      </c>
      <c r="M202" s="9">
        <v>10.1</v>
      </c>
      <c r="N202" s="9">
        <v>8.4</v>
      </c>
      <c r="O202" s="9">
        <v>4.6500000000000004</v>
      </c>
    </row>
    <row r="203" spans="1:15" x14ac:dyDescent="0.15">
      <c r="A203" s="9">
        <v>1.8</v>
      </c>
      <c r="B203" s="9">
        <v>196.7</v>
      </c>
      <c r="C203" s="9">
        <v>150.4</v>
      </c>
      <c r="D203" s="9">
        <v>123.8</v>
      </c>
      <c r="E203" s="9">
        <v>104.2</v>
      </c>
      <c r="F203" s="9">
        <v>79.400000000000006</v>
      </c>
      <c r="G203" s="9">
        <v>51.5</v>
      </c>
      <c r="H203" s="9">
        <v>38.6</v>
      </c>
      <c r="I203" s="9">
        <v>31</v>
      </c>
      <c r="J203" s="9">
        <v>23.3</v>
      </c>
      <c r="K203" s="9">
        <v>18.600000000000001</v>
      </c>
      <c r="L203" s="9">
        <v>15.6</v>
      </c>
      <c r="M203" s="9">
        <v>10.7</v>
      </c>
      <c r="N203" s="9">
        <v>8.9499999999999993</v>
      </c>
      <c r="O203" s="9">
        <v>4.9000000000000004</v>
      </c>
    </row>
    <row r="204" spans="1:15" x14ac:dyDescent="0.15">
      <c r="A204" s="9">
        <v>1.75</v>
      </c>
      <c r="B204" s="9">
        <v>211.4</v>
      </c>
      <c r="C204" s="9">
        <v>159.30000000000001</v>
      </c>
      <c r="D204" s="9">
        <v>129.6</v>
      </c>
      <c r="E204" s="9">
        <v>108.2</v>
      </c>
      <c r="F204" s="9">
        <v>82.3</v>
      </c>
      <c r="G204" s="9">
        <v>53</v>
      </c>
      <c r="H204" s="9">
        <v>39.700000000000003</v>
      </c>
      <c r="I204" s="9">
        <v>31.8</v>
      </c>
      <c r="J204" s="9">
        <v>23.8</v>
      </c>
      <c r="K204" s="9">
        <v>19</v>
      </c>
      <c r="L204" s="9">
        <v>15.9</v>
      </c>
      <c r="M204" s="9">
        <v>10.9</v>
      </c>
      <c r="N204" s="9">
        <v>9.07</v>
      </c>
      <c r="O204" s="9">
        <v>4.96</v>
      </c>
    </row>
    <row r="205" spans="1:15" x14ac:dyDescent="0.15">
      <c r="A205" s="9">
        <v>1.7</v>
      </c>
      <c r="B205" s="9">
        <v>225.2</v>
      </c>
      <c r="C205" s="9">
        <v>167.7</v>
      </c>
      <c r="D205" s="9">
        <v>135.4</v>
      </c>
      <c r="E205" s="9">
        <v>112.8</v>
      </c>
      <c r="F205" s="9">
        <v>85.2</v>
      </c>
      <c r="G205" s="9">
        <v>54.5</v>
      </c>
      <c r="H205" s="9">
        <v>40.799999999999997</v>
      </c>
      <c r="I205" s="9">
        <v>32.6</v>
      </c>
      <c r="J205" s="9">
        <v>24.4</v>
      </c>
      <c r="K205" s="9">
        <v>19.399999999999999</v>
      </c>
      <c r="L205" s="9">
        <v>16.3</v>
      </c>
      <c r="M205" s="9">
        <v>11.1</v>
      </c>
      <c r="N205" s="9">
        <v>9.1999999999999993</v>
      </c>
      <c r="O205" s="9">
        <v>5.0199999999999996</v>
      </c>
    </row>
    <row r="206" spans="1:15" x14ac:dyDescent="0.15">
      <c r="A206" s="31">
        <v>1.67</v>
      </c>
      <c r="B206" s="9">
        <v>232.9</v>
      </c>
      <c r="C206" s="9">
        <v>172.5</v>
      </c>
      <c r="D206" s="9">
        <v>140.1</v>
      </c>
      <c r="E206" s="9">
        <v>115.2</v>
      </c>
      <c r="F206" s="9">
        <v>86.9</v>
      </c>
      <c r="G206" s="9">
        <v>55.4</v>
      </c>
      <c r="H206" s="9">
        <v>41.4</v>
      </c>
      <c r="I206" s="9">
        <v>33</v>
      </c>
      <c r="J206" s="9">
        <v>24.7</v>
      </c>
      <c r="K206" s="9">
        <v>19.7</v>
      </c>
      <c r="L206" s="9">
        <v>16.399999999999999</v>
      </c>
      <c r="M206" s="9">
        <v>11.2</v>
      </c>
      <c r="N206" s="9">
        <v>9.27</v>
      </c>
      <c r="O206" s="9">
        <v>5.0599999999999996</v>
      </c>
    </row>
    <row r="207" spans="1:15" x14ac:dyDescent="0.15">
      <c r="A207" s="31">
        <v>1.6</v>
      </c>
      <c r="B207" s="9">
        <v>250.3</v>
      </c>
      <c r="C207" s="9">
        <v>182.8</v>
      </c>
      <c r="D207" s="9">
        <v>146.1</v>
      </c>
      <c r="E207" s="9">
        <v>120.8</v>
      </c>
      <c r="F207" s="9">
        <v>90.6</v>
      </c>
      <c r="G207" s="9">
        <v>57.6</v>
      </c>
      <c r="H207" s="9">
        <v>42.9</v>
      </c>
      <c r="I207" s="9">
        <v>34.200000000000003</v>
      </c>
      <c r="J207" s="9">
        <v>25.5</v>
      </c>
      <c r="K207" s="9">
        <v>20.2</v>
      </c>
      <c r="L207" s="9">
        <v>16.899999999999999</v>
      </c>
      <c r="M207" s="9">
        <v>11.4</v>
      </c>
      <c r="N207" s="9">
        <v>9.4499999999999993</v>
      </c>
      <c r="O207" s="9">
        <v>5.14</v>
      </c>
    </row>
    <row r="208" spans="1:15" s="35" customFormat="1" x14ac:dyDescent="0.15">
      <c r="A208" s="33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</row>
    <row r="209" spans="1:15" x14ac:dyDescent="0.15">
      <c r="A209" s="30" t="s">
        <v>192</v>
      </c>
      <c r="B209" s="30" t="s">
        <v>19</v>
      </c>
      <c r="C209" s="30" t="s">
        <v>179</v>
      </c>
      <c r="D209" s="30" t="s">
        <v>180</v>
      </c>
      <c r="E209" s="30" t="s">
        <v>181</v>
      </c>
      <c r="F209" s="30" t="s">
        <v>182</v>
      </c>
      <c r="G209" s="30" t="s">
        <v>183</v>
      </c>
      <c r="H209" s="30" t="s">
        <v>184</v>
      </c>
      <c r="I209" s="30" t="s">
        <v>185</v>
      </c>
      <c r="J209" s="30" t="s">
        <v>186</v>
      </c>
      <c r="K209" s="30" t="s">
        <v>187</v>
      </c>
      <c r="L209" s="30" t="s">
        <v>188</v>
      </c>
      <c r="M209" s="30" t="s">
        <v>189</v>
      </c>
      <c r="N209" s="30" t="s">
        <v>190</v>
      </c>
      <c r="O209" s="30" t="s">
        <v>191</v>
      </c>
    </row>
    <row r="210" spans="1:15" x14ac:dyDescent="0.15">
      <c r="A210" s="9">
        <v>1.85</v>
      </c>
      <c r="B210" s="9">
        <v>171.4</v>
      </c>
      <c r="C210" s="9">
        <v>129.1</v>
      </c>
      <c r="D210" s="9">
        <v>107.6</v>
      </c>
      <c r="E210" s="9">
        <v>91.3</v>
      </c>
      <c r="F210" s="9">
        <v>70.900000000000006</v>
      </c>
      <c r="G210" s="9">
        <v>46.8</v>
      </c>
      <c r="H210" s="9">
        <v>35.5</v>
      </c>
      <c r="I210" s="9">
        <v>28.6</v>
      </c>
      <c r="J210" s="9">
        <v>21.6</v>
      </c>
      <c r="K210" s="9">
        <v>17.3</v>
      </c>
      <c r="L210" s="9">
        <v>14.6</v>
      </c>
      <c r="M210" s="9">
        <v>10.1</v>
      </c>
      <c r="N210" s="9">
        <v>8.4</v>
      </c>
      <c r="O210" s="9">
        <v>4.6500000000000004</v>
      </c>
    </row>
    <row r="211" spans="1:15" x14ac:dyDescent="0.15">
      <c r="A211" s="9">
        <v>1.8</v>
      </c>
      <c r="B211" s="9">
        <v>196.7</v>
      </c>
      <c r="C211" s="9">
        <v>150.4</v>
      </c>
      <c r="D211" s="9">
        <v>123.8</v>
      </c>
      <c r="E211" s="9">
        <v>104.2</v>
      </c>
      <c r="F211" s="9">
        <v>79.400000000000006</v>
      </c>
      <c r="G211" s="9">
        <v>51.5</v>
      </c>
      <c r="H211" s="9">
        <v>38.6</v>
      </c>
      <c r="I211" s="9">
        <v>31</v>
      </c>
      <c r="J211" s="9">
        <v>23.3</v>
      </c>
      <c r="K211" s="9">
        <v>18.600000000000001</v>
      </c>
      <c r="L211" s="9">
        <v>15.6</v>
      </c>
      <c r="M211" s="9">
        <v>10.7</v>
      </c>
      <c r="N211" s="9">
        <v>8.9499999999999993</v>
      </c>
      <c r="O211" s="9">
        <v>4.9000000000000004</v>
      </c>
    </row>
    <row r="212" spans="1:15" x14ac:dyDescent="0.15">
      <c r="A212" s="9">
        <v>1.75</v>
      </c>
      <c r="B212" s="9">
        <v>211.4</v>
      </c>
      <c r="C212" s="9">
        <v>159.30000000000001</v>
      </c>
      <c r="D212" s="9">
        <v>129.6</v>
      </c>
      <c r="E212" s="9">
        <v>108.2</v>
      </c>
      <c r="F212" s="9">
        <v>82.3</v>
      </c>
      <c r="G212" s="9">
        <v>53</v>
      </c>
      <c r="H212" s="9">
        <v>39.700000000000003</v>
      </c>
      <c r="I212" s="9">
        <v>31.8</v>
      </c>
      <c r="J212" s="9">
        <v>23.8</v>
      </c>
      <c r="K212" s="9">
        <v>19</v>
      </c>
      <c r="L212" s="9">
        <v>15.9</v>
      </c>
      <c r="M212" s="9">
        <v>10.9</v>
      </c>
      <c r="N212" s="9">
        <v>9.07</v>
      </c>
      <c r="O212" s="9">
        <v>4.96</v>
      </c>
    </row>
    <row r="213" spans="1:15" x14ac:dyDescent="0.15">
      <c r="A213" s="9">
        <v>1.7</v>
      </c>
      <c r="B213" s="9">
        <v>225.2</v>
      </c>
      <c r="C213" s="9">
        <v>167.7</v>
      </c>
      <c r="D213" s="9">
        <v>135.4</v>
      </c>
      <c r="E213" s="9">
        <v>112.8</v>
      </c>
      <c r="F213" s="9">
        <v>85.2</v>
      </c>
      <c r="G213" s="9">
        <v>54.5</v>
      </c>
      <c r="H213" s="9">
        <v>40.799999999999997</v>
      </c>
      <c r="I213" s="9">
        <v>32.6</v>
      </c>
      <c r="J213" s="9">
        <v>24.4</v>
      </c>
      <c r="K213" s="9">
        <v>19.399999999999999</v>
      </c>
      <c r="L213" s="9">
        <v>16.3</v>
      </c>
      <c r="M213" s="9">
        <v>11.1</v>
      </c>
      <c r="N213" s="9">
        <v>9.1999999999999993</v>
      </c>
      <c r="O213" s="9">
        <v>5.0199999999999996</v>
      </c>
    </row>
    <row r="214" spans="1:15" x14ac:dyDescent="0.15">
      <c r="A214" s="31">
        <v>1.67</v>
      </c>
      <c r="B214" s="9">
        <v>232.9</v>
      </c>
      <c r="C214" s="9">
        <v>172.5</v>
      </c>
      <c r="D214" s="9">
        <v>140.1</v>
      </c>
      <c r="E214" s="9">
        <v>115.2</v>
      </c>
      <c r="F214" s="9">
        <v>86.9</v>
      </c>
      <c r="G214" s="9">
        <v>55.4</v>
      </c>
      <c r="H214" s="9">
        <v>41.4</v>
      </c>
      <c r="I214" s="9">
        <v>33</v>
      </c>
      <c r="J214" s="9">
        <v>24.7</v>
      </c>
      <c r="K214" s="9">
        <v>19.7</v>
      </c>
      <c r="L214" s="9">
        <v>16.399999999999999</v>
      </c>
      <c r="M214" s="9">
        <v>11.2</v>
      </c>
      <c r="N214" s="9">
        <v>9.27</v>
      </c>
      <c r="O214" s="9">
        <v>5.0599999999999996</v>
      </c>
    </row>
    <row r="215" spans="1:15" x14ac:dyDescent="0.15">
      <c r="A215" s="31">
        <v>1.6</v>
      </c>
      <c r="B215" s="9">
        <v>250.3</v>
      </c>
      <c r="C215" s="9">
        <v>182.8</v>
      </c>
      <c r="D215" s="9">
        <v>146.1</v>
      </c>
      <c r="E215" s="9">
        <v>120.8</v>
      </c>
      <c r="F215" s="9">
        <v>90.6</v>
      </c>
      <c r="G215" s="9">
        <v>57.6</v>
      </c>
      <c r="H215" s="9">
        <v>42.9</v>
      </c>
      <c r="I215" s="9">
        <v>34.200000000000003</v>
      </c>
      <c r="J215" s="9">
        <v>25.5</v>
      </c>
      <c r="K215" s="9">
        <v>20.2</v>
      </c>
      <c r="L215" s="9">
        <v>16.899999999999999</v>
      </c>
      <c r="M215" s="9">
        <v>11.4</v>
      </c>
      <c r="N215" s="9">
        <v>9.4499999999999993</v>
      </c>
      <c r="O215" s="9">
        <v>5.14</v>
      </c>
    </row>
    <row r="216" spans="1:15" s="35" customFormat="1" x14ac:dyDescent="0.15">
      <c r="A216" s="33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</row>
    <row r="217" spans="1:15" x14ac:dyDescent="0.15">
      <c r="A217" s="30" t="s">
        <v>193</v>
      </c>
      <c r="B217" s="30" t="s">
        <v>19</v>
      </c>
      <c r="C217" s="30" t="s">
        <v>179</v>
      </c>
      <c r="D217" s="30" t="s">
        <v>180</v>
      </c>
      <c r="E217" s="30" t="s">
        <v>181</v>
      </c>
      <c r="F217" s="30" t="s">
        <v>182</v>
      </c>
      <c r="G217" s="30" t="s">
        <v>183</v>
      </c>
      <c r="H217" s="30" t="s">
        <v>184</v>
      </c>
      <c r="I217" s="30" t="s">
        <v>185</v>
      </c>
      <c r="J217" s="30" t="s">
        <v>186</v>
      </c>
      <c r="K217" s="30" t="s">
        <v>187</v>
      </c>
      <c r="L217" s="30" t="s">
        <v>188</v>
      </c>
      <c r="M217" s="30" t="s">
        <v>189</v>
      </c>
      <c r="N217" s="30" t="s">
        <v>190</v>
      </c>
      <c r="O217" s="30" t="s">
        <v>191</v>
      </c>
    </row>
    <row r="218" spans="1:15" x14ac:dyDescent="0.15">
      <c r="A218" s="9">
        <v>1.85</v>
      </c>
      <c r="B218" s="9">
        <v>242.5</v>
      </c>
      <c r="C218" s="12">
        <v>173.7</v>
      </c>
      <c r="D218" s="12">
        <v>158.6</v>
      </c>
      <c r="E218" s="12">
        <v>125.3</v>
      </c>
      <c r="F218" s="12">
        <v>112.6</v>
      </c>
      <c r="G218" s="12">
        <v>70.599999999999994</v>
      </c>
      <c r="H218" s="12">
        <v>51.3</v>
      </c>
      <c r="I218" s="12">
        <v>43.3</v>
      </c>
      <c r="J218" s="12">
        <v>31.9</v>
      </c>
      <c r="K218" s="12">
        <v>25.1</v>
      </c>
      <c r="L218" s="12">
        <v>21.9</v>
      </c>
      <c r="M218" s="12">
        <v>14.9</v>
      </c>
      <c r="N218" s="12">
        <v>12.4</v>
      </c>
      <c r="O218" s="12">
        <v>6.59</v>
      </c>
    </row>
    <row r="219" spans="1:15" x14ac:dyDescent="0.15">
      <c r="A219" s="9">
        <v>1.8</v>
      </c>
      <c r="B219" s="12">
        <v>271.2</v>
      </c>
      <c r="C219" s="12">
        <v>194.3</v>
      </c>
      <c r="D219" s="12">
        <v>177.5</v>
      </c>
      <c r="E219" s="12">
        <v>140.19999999999999</v>
      </c>
      <c r="F219" s="12">
        <v>121.6</v>
      </c>
      <c r="G219" s="12">
        <v>72.7</v>
      </c>
      <c r="H219" s="12">
        <v>52.8</v>
      </c>
      <c r="I219" s="12">
        <v>44.4</v>
      </c>
      <c r="J219" s="12">
        <v>34.4</v>
      </c>
      <c r="K219" s="12">
        <v>26.7</v>
      </c>
      <c r="L219" s="12">
        <v>22.9</v>
      </c>
      <c r="M219" s="12">
        <v>15.7</v>
      </c>
      <c r="N219" s="12">
        <v>13</v>
      </c>
      <c r="O219" s="12">
        <v>6.82</v>
      </c>
    </row>
    <row r="220" spans="1:15" x14ac:dyDescent="0.15">
      <c r="A220" s="9">
        <v>1.75</v>
      </c>
      <c r="B220" s="12">
        <v>289.5</v>
      </c>
      <c r="C220" s="12">
        <v>207.3</v>
      </c>
      <c r="D220" s="12">
        <v>189.4</v>
      </c>
      <c r="E220" s="12">
        <v>149.6</v>
      </c>
      <c r="F220" s="12">
        <v>123.1</v>
      </c>
      <c r="G220" s="12">
        <v>76</v>
      </c>
      <c r="H220" s="12">
        <v>55.2</v>
      </c>
      <c r="I220" s="12">
        <v>46.6</v>
      </c>
      <c r="J220" s="12">
        <v>35</v>
      </c>
      <c r="K220" s="12">
        <v>27.1</v>
      </c>
      <c r="L220" s="12">
        <v>23.2</v>
      </c>
      <c r="M220" s="12">
        <v>15.7</v>
      </c>
      <c r="N220" s="12">
        <v>13.1</v>
      </c>
      <c r="O220" s="12">
        <v>6.88</v>
      </c>
    </row>
    <row r="221" spans="1:15" x14ac:dyDescent="0.15">
      <c r="A221" s="9">
        <v>1.7</v>
      </c>
      <c r="B221" s="12">
        <v>304.3</v>
      </c>
      <c r="C221" s="12">
        <v>218</v>
      </c>
      <c r="D221" s="12">
        <v>199.1</v>
      </c>
      <c r="E221" s="12">
        <v>157.30000000000001</v>
      </c>
      <c r="F221" s="12">
        <v>124.5</v>
      </c>
      <c r="G221" s="12">
        <v>77.099999999999994</v>
      </c>
      <c r="H221" s="12">
        <v>56.1</v>
      </c>
      <c r="I221" s="12">
        <v>47.3</v>
      </c>
      <c r="J221" s="12">
        <v>35.6</v>
      </c>
      <c r="K221" s="12">
        <v>27.5</v>
      </c>
      <c r="L221" s="12">
        <v>23.6</v>
      </c>
      <c r="M221" s="12">
        <v>15.9</v>
      </c>
      <c r="N221" s="12">
        <v>13.2</v>
      </c>
      <c r="O221" s="12">
        <v>6.94</v>
      </c>
    </row>
    <row r="222" spans="1:15" x14ac:dyDescent="0.15">
      <c r="A222" s="31">
        <v>1.67</v>
      </c>
      <c r="B222" s="12">
        <v>309.3</v>
      </c>
      <c r="C222" s="12">
        <v>221.5</v>
      </c>
      <c r="D222" s="12">
        <v>202.4</v>
      </c>
      <c r="E222" s="12">
        <v>159.9</v>
      </c>
      <c r="F222" s="12">
        <v>125.4</v>
      </c>
      <c r="G222" s="12">
        <v>77.8</v>
      </c>
      <c r="H222" s="12">
        <v>56.6</v>
      </c>
      <c r="I222" s="12">
        <v>47.8</v>
      </c>
      <c r="J222" s="12">
        <v>35.700000000000003</v>
      </c>
      <c r="K222" s="12">
        <v>27.8</v>
      </c>
      <c r="L222" s="12">
        <v>24</v>
      </c>
      <c r="M222" s="12">
        <v>16.100000000000001</v>
      </c>
      <c r="N222" s="12">
        <v>13.4</v>
      </c>
      <c r="O222" s="12">
        <v>7.02</v>
      </c>
    </row>
    <row r="223" spans="1:15" x14ac:dyDescent="0.15">
      <c r="A223" s="31">
        <v>1.6</v>
      </c>
      <c r="B223" s="12">
        <v>313.60000000000002</v>
      </c>
      <c r="C223" s="12">
        <v>224.6</v>
      </c>
      <c r="D223" s="12">
        <v>205.2</v>
      </c>
      <c r="E223" s="12">
        <v>162.1</v>
      </c>
      <c r="F223" s="12">
        <v>126</v>
      </c>
      <c r="G223" s="12">
        <v>78.3</v>
      </c>
      <c r="H223" s="12">
        <v>57.1</v>
      </c>
      <c r="I223" s="12">
        <v>48.2</v>
      </c>
      <c r="J223" s="12">
        <v>35.9</v>
      </c>
      <c r="K223" s="12">
        <v>28</v>
      </c>
      <c r="L223" s="12">
        <v>24.2</v>
      </c>
      <c r="M223" s="12">
        <v>16.3</v>
      </c>
      <c r="N223" s="12">
        <v>13.5</v>
      </c>
      <c r="O223" s="12">
        <v>7.09</v>
      </c>
    </row>
    <row r="224" spans="1:15" s="35" customFormat="1" x14ac:dyDescent="0.15">
      <c r="A224" s="33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</row>
    <row r="225" spans="1:15" x14ac:dyDescent="0.15">
      <c r="A225" s="30" t="s">
        <v>194</v>
      </c>
      <c r="B225" s="30" t="s">
        <v>19</v>
      </c>
      <c r="C225" s="30" t="s">
        <v>179</v>
      </c>
      <c r="D225" s="30" t="s">
        <v>180</v>
      </c>
      <c r="E225" s="30" t="s">
        <v>181</v>
      </c>
      <c r="F225" s="30" t="s">
        <v>182</v>
      </c>
      <c r="G225" s="30" t="s">
        <v>183</v>
      </c>
      <c r="H225" s="30" t="s">
        <v>184</v>
      </c>
      <c r="I225" s="30" t="s">
        <v>185</v>
      </c>
      <c r="J225" s="30" t="s">
        <v>186</v>
      </c>
      <c r="K225" s="30" t="s">
        <v>187</v>
      </c>
      <c r="L225" s="30" t="s">
        <v>188</v>
      </c>
      <c r="M225" s="30" t="s">
        <v>189</v>
      </c>
      <c r="N225" s="30" t="s">
        <v>190</v>
      </c>
      <c r="O225" s="30" t="s">
        <v>191</v>
      </c>
    </row>
    <row r="226" spans="1:15" x14ac:dyDescent="0.15">
      <c r="A226" s="9">
        <v>1.85</v>
      </c>
      <c r="B226" s="12">
        <v>342.7</v>
      </c>
      <c r="C226" s="12">
        <v>258.2</v>
      </c>
      <c r="D226" s="12">
        <v>215.2</v>
      </c>
      <c r="E226" s="12">
        <v>182.6</v>
      </c>
      <c r="F226" s="12">
        <v>141.69999999999999</v>
      </c>
      <c r="G226" s="12">
        <v>93.6</v>
      </c>
      <c r="H226" s="12">
        <v>71</v>
      </c>
      <c r="I226" s="12">
        <v>57.3</v>
      </c>
      <c r="J226" s="12">
        <v>43.2</v>
      </c>
      <c r="K226" s="12">
        <v>34.700000000000003</v>
      </c>
      <c r="L226" s="12">
        <v>29.1</v>
      </c>
      <c r="M226" s="12">
        <v>20.100000000000001</v>
      </c>
      <c r="N226" s="12">
        <v>16.8</v>
      </c>
      <c r="O226" s="12">
        <v>9.3000000000000007</v>
      </c>
    </row>
    <row r="227" spans="1:15" x14ac:dyDescent="0.15">
      <c r="A227" s="9">
        <v>1.8</v>
      </c>
      <c r="B227" s="12">
        <v>393.5</v>
      </c>
      <c r="C227" s="12">
        <v>300.8</v>
      </c>
      <c r="D227" s="12">
        <v>247.6</v>
      </c>
      <c r="E227" s="12">
        <v>208.3</v>
      </c>
      <c r="F227" s="12">
        <v>158.9</v>
      </c>
      <c r="G227" s="12">
        <v>102.9</v>
      </c>
      <c r="H227" s="12">
        <v>77.3</v>
      </c>
      <c r="I227" s="12">
        <v>62</v>
      </c>
      <c r="J227" s="12">
        <v>46.6</v>
      </c>
      <c r="K227" s="12">
        <v>37.299999999999997</v>
      </c>
      <c r="L227" s="12">
        <v>31.3</v>
      </c>
      <c r="M227" s="12">
        <v>21.5</v>
      </c>
      <c r="N227" s="12">
        <v>17.899999999999999</v>
      </c>
      <c r="O227" s="12">
        <v>9.81</v>
      </c>
    </row>
    <row r="228" spans="1:15" x14ac:dyDescent="0.15">
      <c r="A228" s="9">
        <v>1.75</v>
      </c>
      <c r="B228" s="12">
        <v>422.8</v>
      </c>
      <c r="C228" s="12">
        <v>318.60000000000002</v>
      </c>
      <c r="D228" s="12">
        <v>259.2</v>
      </c>
      <c r="E228" s="12">
        <v>216.5</v>
      </c>
      <c r="F228" s="12">
        <v>164.7</v>
      </c>
      <c r="G228" s="12">
        <v>106</v>
      </c>
      <c r="H228" s="12">
        <v>79.400000000000006</v>
      </c>
      <c r="I228" s="12">
        <v>63.5</v>
      </c>
      <c r="J228" s="12">
        <v>47.6</v>
      </c>
      <c r="K228" s="12">
        <v>38</v>
      </c>
      <c r="L228" s="12">
        <v>31.9</v>
      </c>
      <c r="M228" s="12">
        <v>21.8</v>
      </c>
      <c r="N228" s="12">
        <v>18.100000000000001</v>
      </c>
      <c r="O228" s="12">
        <v>9.93</v>
      </c>
    </row>
    <row r="229" spans="1:15" x14ac:dyDescent="0.15">
      <c r="A229" s="9">
        <v>1.7</v>
      </c>
      <c r="B229" s="12">
        <v>450.5</v>
      </c>
      <c r="C229" s="12">
        <v>335.3</v>
      </c>
      <c r="D229" s="12">
        <v>270.89999999999998</v>
      </c>
      <c r="E229" s="12">
        <v>225.5</v>
      </c>
      <c r="F229" s="12">
        <v>170.4</v>
      </c>
      <c r="G229" s="12">
        <v>109.1</v>
      </c>
      <c r="H229" s="12">
        <v>81.599999999999994</v>
      </c>
      <c r="I229" s="12">
        <v>65.2</v>
      </c>
      <c r="J229" s="12">
        <v>48.8</v>
      </c>
      <c r="K229" s="12">
        <v>38.9</v>
      </c>
      <c r="L229" s="12">
        <v>32.5</v>
      </c>
      <c r="M229" s="12">
        <v>22.2</v>
      </c>
      <c r="N229" s="12">
        <v>18.399999999999999</v>
      </c>
      <c r="O229" s="12">
        <v>10</v>
      </c>
    </row>
    <row r="230" spans="1:15" x14ac:dyDescent="0.15">
      <c r="A230" s="31">
        <v>1.67</v>
      </c>
      <c r="B230" s="12">
        <v>465.8</v>
      </c>
      <c r="C230" s="12">
        <v>344.9</v>
      </c>
      <c r="D230" s="12">
        <v>280.10000000000002</v>
      </c>
      <c r="E230" s="12">
        <v>230.5</v>
      </c>
      <c r="F230" s="12">
        <v>173.7</v>
      </c>
      <c r="G230" s="12">
        <v>110.8</v>
      </c>
      <c r="H230" s="12">
        <v>82.8</v>
      </c>
      <c r="I230" s="12">
        <v>66.099999999999994</v>
      </c>
      <c r="J230" s="12">
        <v>49.4</v>
      </c>
      <c r="K230" s="12">
        <v>39.299999999999997</v>
      </c>
      <c r="L230" s="12">
        <v>32.9</v>
      </c>
      <c r="M230" s="12">
        <v>22.4</v>
      </c>
      <c r="N230" s="12">
        <v>18.5</v>
      </c>
      <c r="O230" s="12">
        <v>10.1</v>
      </c>
    </row>
    <row r="231" spans="1:15" x14ac:dyDescent="0.15">
      <c r="A231" s="31">
        <v>1.6</v>
      </c>
      <c r="B231" s="12">
        <v>500.5</v>
      </c>
      <c r="C231" s="12">
        <v>365.6</v>
      </c>
      <c r="D231" s="12">
        <v>292.3</v>
      </c>
      <c r="E231" s="12">
        <v>241.6</v>
      </c>
      <c r="F231" s="12">
        <v>181.2</v>
      </c>
      <c r="G231" s="12">
        <v>115.1</v>
      </c>
      <c r="H231" s="12">
        <v>85.7</v>
      </c>
      <c r="I231" s="12">
        <v>68.3</v>
      </c>
      <c r="J231" s="12">
        <v>50.9</v>
      </c>
      <c r="K231" s="12">
        <v>40.4</v>
      </c>
      <c r="L231" s="12">
        <v>33.700000000000003</v>
      </c>
      <c r="M231" s="12">
        <v>22.8</v>
      </c>
      <c r="N231" s="12">
        <v>18.899999999999999</v>
      </c>
      <c r="O231" s="12">
        <v>10.3</v>
      </c>
    </row>
    <row r="232" spans="1:15" s="35" customFormat="1" x14ac:dyDescent="0.15">
      <c r="A232" s="33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</row>
    <row r="233" spans="1:15" x14ac:dyDescent="0.15">
      <c r="A233" s="30" t="s">
        <v>195</v>
      </c>
      <c r="B233" s="30" t="s">
        <v>19</v>
      </c>
      <c r="C233" s="30" t="s">
        <v>179</v>
      </c>
      <c r="D233" s="30" t="s">
        <v>180</v>
      </c>
      <c r="E233" s="30" t="s">
        <v>181</v>
      </c>
      <c r="F233" s="30" t="s">
        <v>182</v>
      </c>
      <c r="G233" s="30" t="s">
        <v>183</v>
      </c>
      <c r="H233" s="30" t="s">
        <v>184</v>
      </c>
      <c r="I233" s="30" t="s">
        <v>185</v>
      </c>
      <c r="J233" s="30" t="s">
        <v>186</v>
      </c>
      <c r="K233" s="30" t="s">
        <v>187</v>
      </c>
      <c r="L233" s="30" t="s">
        <v>188</v>
      </c>
      <c r="M233" s="30" t="s">
        <v>189</v>
      </c>
      <c r="N233" s="30" t="s">
        <v>190</v>
      </c>
      <c r="O233" s="30" t="s">
        <v>191</v>
      </c>
    </row>
    <row r="234" spans="1:15" x14ac:dyDescent="0.15">
      <c r="A234" s="9">
        <v>1.85</v>
      </c>
      <c r="B234" s="9">
        <v>856.8</v>
      </c>
      <c r="C234" s="12">
        <v>645.4</v>
      </c>
      <c r="D234" s="12">
        <v>538</v>
      </c>
      <c r="E234" s="12">
        <v>456.4</v>
      </c>
      <c r="F234" s="12">
        <v>354.3</v>
      </c>
      <c r="G234" s="12">
        <v>234</v>
      </c>
      <c r="H234" s="12">
        <v>177.6</v>
      </c>
      <c r="I234" s="12">
        <v>143.1</v>
      </c>
      <c r="J234" s="12">
        <v>108.1</v>
      </c>
      <c r="K234" s="12">
        <v>86.7</v>
      </c>
      <c r="L234" s="12">
        <v>72.8</v>
      </c>
      <c r="M234" s="12">
        <v>50.3</v>
      </c>
      <c r="N234" s="12">
        <v>42</v>
      </c>
      <c r="O234" s="12">
        <v>23.3</v>
      </c>
    </row>
    <row r="235" spans="1:15" x14ac:dyDescent="0.15">
      <c r="A235" s="9">
        <v>1.8</v>
      </c>
      <c r="B235" s="12">
        <v>983.7</v>
      </c>
      <c r="C235" s="12">
        <v>751.9</v>
      </c>
      <c r="D235" s="12">
        <v>619.1</v>
      </c>
      <c r="E235" s="12">
        <v>520.79999999999995</v>
      </c>
      <c r="F235" s="12">
        <v>397.2</v>
      </c>
      <c r="G235" s="12">
        <v>257.3</v>
      </c>
      <c r="H235" s="12">
        <v>193.2</v>
      </c>
      <c r="I235" s="12">
        <v>155</v>
      </c>
      <c r="J235" s="12">
        <v>116.5</v>
      </c>
      <c r="K235" s="12">
        <v>93.1</v>
      </c>
      <c r="L235" s="12">
        <v>78.2</v>
      </c>
      <c r="M235" s="12">
        <v>53.7</v>
      </c>
      <c r="N235" s="12">
        <v>44.8</v>
      </c>
      <c r="O235" s="12">
        <v>24.5</v>
      </c>
    </row>
    <row r="236" spans="1:15" x14ac:dyDescent="0.15">
      <c r="A236" s="9">
        <v>1.75</v>
      </c>
      <c r="B236" s="12">
        <v>1057.0999999999999</v>
      </c>
      <c r="C236" s="12">
        <v>796.5</v>
      </c>
      <c r="D236" s="12">
        <v>648.1</v>
      </c>
      <c r="E236" s="12">
        <v>541.20000000000005</v>
      </c>
      <c r="F236" s="12">
        <v>411.7</v>
      </c>
      <c r="G236" s="12">
        <v>264.89999999999998</v>
      </c>
      <c r="H236" s="12">
        <v>198.5</v>
      </c>
      <c r="I236" s="12">
        <v>158.80000000000001</v>
      </c>
      <c r="J236" s="12">
        <v>119.1</v>
      </c>
      <c r="K236" s="12">
        <v>95.1</v>
      </c>
      <c r="L236" s="12">
        <v>79.7</v>
      </c>
      <c r="M236" s="12">
        <v>54.6</v>
      </c>
      <c r="N236" s="12">
        <v>45.4</v>
      </c>
      <c r="O236" s="12">
        <v>24.8</v>
      </c>
    </row>
    <row r="237" spans="1:15" x14ac:dyDescent="0.15">
      <c r="A237" s="9">
        <v>1.7</v>
      </c>
      <c r="B237" s="12">
        <v>1126.2</v>
      </c>
      <c r="C237" s="12">
        <v>838.3</v>
      </c>
      <c r="D237" s="12">
        <v>677.2</v>
      </c>
      <c r="E237" s="12">
        <v>563.9</v>
      </c>
      <c r="F237" s="12">
        <v>425.9</v>
      </c>
      <c r="G237" s="12">
        <v>272.7</v>
      </c>
      <c r="H237" s="12">
        <v>204</v>
      </c>
      <c r="I237" s="12">
        <v>163.1</v>
      </c>
      <c r="J237" s="12">
        <v>122</v>
      </c>
      <c r="K237" s="12">
        <v>97.2</v>
      </c>
      <c r="L237" s="12">
        <v>81.3</v>
      </c>
      <c r="M237" s="12">
        <v>55.5</v>
      </c>
      <c r="N237" s="12">
        <v>46</v>
      </c>
      <c r="O237" s="12">
        <v>25.1</v>
      </c>
    </row>
    <row r="238" spans="1:15" x14ac:dyDescent="0.15">
      <c r="A238" s="31">
        <v>1.67</v>
      </c>
      <c r="B238" s="12">
        <v>1164.5999999999999</v>
      </c>
      <c r="C238" s="12">
        <v>862.3</v>
      </c>
      <c r="D238" s="12">
        <v>700.4</v>
      </c>
      <c r="E238" s="12">
        <v>576.20000000000005</v>
      </c>
      <c r="F238" s="12">
        <v>434.3</v>
      </c>
      <c r="G238" s="12">
        <v>277.10000000000002</v>
      </c>
      <c r="H238" s="12">
        <v>206.9</v>
      </c>
      <c r="I238" s="12">
        <v>165.2</v>
      </c>
      <c r="J238" s="12">
        <v>123.5</v>
      </c>
      <c r="K238" s="12">
        <v>98.3</v>
      </c>
      <c r="L238" s="12">
        <v>82.1</v>
      </c>
      <c r="M238" s="12">
        <v>56</v>
      </c>
      <c r="N238" s="12">
        <v>46.4</v>
      </c>
      <c r="O238" s="12">
        <v>25.3</v>
      </c>
    </row>
    <row r="239" spans="1:15" x14ac:dyDescent="0.15">
      <c r="A239" s="31">
        <v>1.6</v>
      </c>
      <c r="B239" s="12">
        <v>1251.3</v>
      </c>
      <c r="C239" s="12">
        <v>914</v>
      </c>
      <c r="D239" s="12">
        <v>730.7</v>
      </c>
      <c r="E239" s="12">
        <v>603.9</v>
      </c>
      <c r="F239" s="12">
        <v>453</v>
      </c>
      <c r="G239" s="12">
        <v>287.89999999999998</v>
      </c>
      <c r="H239" s="12">
        <v>214.3</v>
      </c>
      <c r="I239" s="12">
        <v>170.8</v>
      </c>
      <c r="J239" s="12">
        <v>127.3</v>
      </c>
      <c r="K239" s="12">
        <v>101</v>
      </c>
      <c r="L239" s="12">
        <v>84.3</v>
      </c>
      <c r="M239" s="12">
        <v>57.1</v>
      </c>
      <c r="N239" s="12">
        <v>47.2</v>
      </c>
      <c r="O239" s="12">
        <v>25.7</v>
      </c>
    </row>
    <row r="240" spans="1:15" s="35" customFormat="1" x14ac:dyDescent="0.15">
      <c r="A240" s="33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</row>
    <row r="241" spans="1:15" x14ac:dyDescent="0.15">
      <c r="A241" s="30" t="s">
        <v>196</v>
      </c>
      <c r="B241" s="30" t="s">
        <v>197</v>
      </c>
      <c r="C241" s="30" t="s">
        <v>156</v>
      </c>
      <c r="D241" s="30" t="s">
        <v>157</v>
      </c>
      <c r="E241" s="30" t="s">
        <v>158</v>
      </c>
      <c r="F241" s="30" t="s">
        <v>159</v>
      </c>
      <c r="G241" s="30" t="s">
        <v>160</v>
      </c>
      <c r="H241" s="30" t="s">
        <v>198</v>
      </c>
      <c r="I241" s="30" t="s">
        <v>199</v>
      </c>
      <c r="J241" s="30" t="s">
        <v>200</v>
      </c>
      <c r="K241" s="30" t="s">
        <v>201</v>
      </c>
      <c r="L241" s="30" t="s">
        <v>202</v>
      </c>
      <c r="M241" s="30" t="s">
        <v>203</v>
      </c>
      <c r="N241" s="30" t="s">
        <v>204</v>
      </c>
      <c r="O241" s="30" t="s">
        <v>205</v>
      </c>
    </row>
    <row r="242" spans="1:15" x14ac:dyDescent="0.15">
      <c r="A242" s="9">
        <v>1.85</v>
      </c>
      <c r="B242" s="12">
        <v>134.1</v>
      </c>
      <c r="C242" s="12">
        <v>107.8</v>
      </c>
      <c r="D242" s="12">
        <v>94.1</v>
      </c>
      <c r="E242" s="12">
        <v>74.3</v>
      </c>
      <c r="F242" s="12">
        <v>52.7</v>
      </c>
      <c r="G242" s="12">
        <v>51.6</v>
      </c>
      <c r="H242" s="12">
        <v>40.700000000000003</v>
      </c>
      <c r="I242" s="12">
        <v>30.3</v>
      </c>
      <c r="J242" s="12">
        <v>24.4</v>
      </c>
      <c r="K242" s="12">
        <v>18.3</v>
      </c>
      <c r="L242" s="12">
        <v>14.5</v>
      </c>
      <c r="M242" s="12">
        <v>12.3</v>
      </c>
      <c r="N242" s="12">
        <v>8.58</v>
      </c>
      <c r="O242" s="12">
        <v>7.35</v>
      </c>
    </row>
    <row r="243" spans="1:15" x14ac:dyDescent="0.15">
      <c r="A243" s="9">
        <v>1.8</v>
      </c>
      <c r="B243" s="12">
        <v>150</v>
      </c>
      <c r="C243" s="12">
        <v>120.6</v>
      </c>
      <c r="D243" s="12">
        <v>105.2</v>
      </c>
      <c r="E243" s="12">
        <v>83.1</v>
      </c>
      <c r="F243" s="12">
        <v>58.9</v>
      </c>
      <c r="G243" s="12">
        <v>54.3</v>
      </c>
      <c r="H243" s="12">
        <v>43</v>
      </c>
      <c r="I243" s="12">
        <v>32</v>
      </c>
      <c r="J243" s="12">
        <v>25.7</v>
      </c>
      <c r="K243" s="12">
        <v>19</v>
      </c>
      <c r="L243" s="12">
        <v>15</v>
      </c>
      <c r="M243" s="12">
        <v>12.8</v>
      </c>
      <c r="N243" s="12">
        <v>8.73</v>
      </c>
      <c r="O243" s="12">
        <v>7.55</v>
      </c>
    </row>
    <row r="244" spans="1:15" x14ac:dyDescent="0.15">
      <c r="A244" s="9">
        <v>1.75</v>
      </c>
      <c r="B244" s="12">
        <v>160.1</v>
      </c>
      <c r="C244" s="12">
        <v>128.69999999999999</v>
      </c>
      <c r="D244" s="12">
        <v>112.3</v>
      </c>
      <c r="E244" s="12">
        <v>88.7</v>
      </c>
      <c r="F244" s="12">
        <v>62.9</v>
      </c>
      <c r="G244" s="12">
        <v>56.1</v>
      </c>
      <c r="H244" s="12">
        <v>44.6</v>
      </c>
      <c r="I244" s="12">
        <v>33.1</v>
      </c>
      <c r="J244" s="12">
        <v>26.6</v>
      </c>
      <c r="K244" s="12">
        <v>19.600000000000001</v>
      </c>
      <c r="L244" s="12">
        <v>15.4</v>
      </c>
      <c r="M244" s="12">
        <v>13.1</v>
      </c>
      <c r="N244" s="12">
        <v>8.8000000000000007</v>
      </c>
      <c r="O244" s="12">
        <v>7.57</v>
      </c>
    </row>
    <row r="245" spans="1:15" x14ac:dyDescent="0.15">
      <c r="A245" s="9">
        <v>1.7</v>
      </c>
      <c r="B245" s="12">
        <v>168.3</v>
      </c>
      <c r="C245" s="12">
        <v>135.30000000000001</v>
      </c>
      <c r="D245" s="12">
        <v>118.1</v>
      </c>
      <c r="E245" s="12">
        <v>93.3</v>
      </c>
      <c r="F245" s="12">
        <v>66.099999999999994</v>
      </c>
      <c r="G245" s="12">
        <v>57.5</v>
      </c>
      <c r="H245" s="12">
        <v>45.5</v>
      </c>
      <c r="I245" s="12">
        <v>33.799999999999997</v>
      </c>
      <c r="J245" s="12">
        <v>27.1</v>
      </c>
      <c r="K245" s="12">
        <v>20</v>
      </c>
      <c r="L245" s="12">
        <v>15.7</v>
      </c>
      <c r="M245" s="12">
        <v>13.3</v>
      </c>
      <c r="N245" s="12">
        <v>8.92</v>
      </c>
      <c r="O245" s="12">
        <v>7.61</v>
      </c>
    </row>
    <row r="246" spans="1:15" x14ac:dyDescent="0.15">
      <c r="A246" s="31">
        <v>1.67</v>
      </c>
      <c r="B246" s="12">
        <v>171</v>
      </c>
      <c r="C246" s="12">
        <v>137.5</v>
      </c>
      <c r="D246" s="12">
        <v>120</v>
      </c>
      <c r="E246" s="12">
        <v>94.8</v>
      </c>
      <c r="F246" s="12">
        <v>67.2</v>
      </c>
      <c r="G246" s="12">
        <v>58.7</v>
      </c>
      <c r="H246" s="12">
        <v>46.4</v>
      </c>
      <c r="I246" s="12">
        <v>34.4</v>
      </c>
      <c r="J246" s="12">
        <v>27.7</v>
      </c>
      <c r="K246" s="12">
        <v>20.3</v>
      </c>
      <c r="L246" s="12">
        <v>15.9</v>
      </c>
      <c r="M246" s="12">
        <v>13.5</v>
      </c>
      <c r="N246" s="12">
        <v>9</v>
      </c>
      <c r="O246" s="12">
        <v>7.72</v>
      </c>
    </row>
    <row r="247" spans="1:15" x14ac:dyDescent="0.15">
      <c r="A247" s="31">
        <v>1.6</v>
      </c>
      <c r="B247" s="12">
        <v>173.4</v>
      </c>
      <c r="C247" s="12">
        <v>139.4</v>
      </c>
      <c r="D247" s="12">
        <v>121.7</v>
      </c>
      <c r="E247" s="12">
        <v>96.1</v>
      </c>
      <c r="F247" s="12">
        <v>68.099999999999994</v>
      </c>
      <c r="G247" s="12">
        <v>59.2</v>
      </c>
      <c r="H247" s="12">
        <v>46.9</v>
      </c>
      <c r="I247" s="12">
        <v>34.799999999999997</v>
      </c>
      <c r="J247" s="12">
        <v>28</v>
      </c>
      <c r="K247" s="12">
        <v>20.7</v>
      </c>
      <c r="L247" s="12">
        <v>16.2</v>
      </c>
      <c r="M247" s="12">
        <v>13.7</v>
      </c>
      <c r="N247" s="12">
        <v>9.0299999999999994</v>
      </c>
      <c r="O247" s="12">
        <v>7.75</v>
      </c>
    </row>
    <row r="248" spans="1:15" s="35" customFormat="1" x14ac:dyDescent="0.15">
      <c r="A248" s="33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</row>
    <row r="249" spans="1:15" x14ac:dyDescent="0.15">
      <c r="A249" s="30" t="s">
        <v>206</v>
      </c>
      <c r="B249" s="30" t="s">
        <v>197</v>
      </c>
      <c r="C249" s="30" t="s">
        <v>156</v>
      </c>
      <c r="D249" s="30" t="s">
        <v>157</v>
      </c>
      <c r="E249" s="30" t="s">
        <v>158</v>
      </c>
      <c r="F249" s="30" t="s">
        <v>159</v>
      </c>
      <c r="G249" s="30" t="s">
        <v>160</v>
      </c>
      <c r="H249" s="30" t="s">
        <v>198</v>
      </c>
      <c r="I249" s="30" t="s">
        <v>199</v>
      </c>
      <c r="J249" s="30" t="s">
        <v>200</v>
      </c>
      <c r="K249" s="30" t="s">
        <v>201</v>
      </c>
      <c r="L249" s="30" t="s">
        <v>202</v>
      </c>
      <c r="M249" s="30" t="s">
        <v>203</v>
      </c>
      <c r="N249" s="30" t="s">
        <v>204</v>
      </c>
      <c r="O249" s="30" t="s">
        <v>205</v>
      </c>
    </row>
    <row r="250" spans="1:15" x14ac:dyDescent="0.15">
      <c r="A250" s="9">
        <v>1.85</v>
      </c>
      <c r="B250" s="12">
        <v>208.6</v>
      </c>
      <c r="C250" s="12">
        <v>145.5</v>
      </c>
      <c r="D250" s="12">
        <v>117.5</v>
      </c>
      <c r="E250" s="12">
        <v>99</v>
      </c>
      <c r="F250" s="12">
        <v>79.5</v>
      </c>
      <c r="G250" s="12">
        <v>59.9</v>
      </c>
      <c r="H250" s="12">
        <v>48.7</v>
      </c>
      <c r="I250" s="12">
        <v>35.299999999999997</v>
      </c>
      <c r="J250" s="12">
        <v>28.3</v>
      </c>
      <c r="K250" s="12">
        <v>21</v>
      </c>
      <c r="L250" s="12">
        <v>16.8</v>
      </c>
      <c r="M250" s="12">
        <v>14.1</v>
      </c>
      <c r="N250" s="12">
        <v>10</v>
      </c>
      <c r="O250" s="12">
        <v>8.34</v>
      </c>
    </row>
    <row r="251" spans="1:15" x14ac:dyDescent="0.15">
      <c r="A251" s="9">
        <v>1.8</v>
      </c>
      <c r="B251" s="12">
        <v>235.8</v>
      </c>
      <c r="C251" s="12">
        <v>168.7</v>
      </c>
      <c r="D251" s="12">
        <v>135.19999999999999</v>
      </c>
      <c r="E251" s="12">
        <v>113</v>
      </c>
      <c r="F251" s="12">
        <v>85.6</v>
      </c>
      <c r="G251" s="12">
        <v>63.4</v>
      </c>
      <c r="H251" s="12">
        <v>50.7</v>
      </c>
      <c r="I251" s="12">
        <v>37.700000000000003</v>
      </c>
      <c r="J251" s="12">
        <v>30.1</v>
      </c>
      <c r="K251" s="12">
        <v>22.7</v>
      </c>
      <c r="L251" s="12">
        <v>18.100000000000001</v>
      </c>
      <c r="M251" s="12">
        <v>15.1</v>
      </c>
      <c r="N251" s="12">
        <v>10.6</v>
      </c>
      <c r="O251" s="12">
        <v>8.89</v>
      </c>
    </row>
    <row r="252" spans="1:15" x14ac:dyDescent="0.15">
      <c r="A252" s="9">
        <v>1.75</v>
      </c>
      <c r="B252" s="12">
        <v>254.1</v>
      </c>
      <c r="C252" s="12">
        <v>178.4</v>
      </c>
      <c r="D252" s="12">
        <v>141.5</v>
      </c>
      <c r="E252" s="12">
        <v>117.4</v>
      </c>
      <c r="F252" s="12">
        <v>88.7</v>
      </c>
      <c r="G252" s="12">
        <v>65.5</v>
      </c>
      <c r="H252" s="12">
        <v>52.2</v>
      </c>
      <c r="I252" s="12">
        <v>38.799999999999997</v>
      </c>
      <c r="J252" s="12">
        <v>30.9</v>
      </c>
      <c r="K252" s="12">
        <v>23.2</v>
      </c>
      <c r="L252" s="12">
        <v>18.399999999999999</v>
      </c>
      <c r="M252" s="12">
        <v>15.4</v>
      </c>
      <c r="N252" s="12">
        <v>10.8</v>
      </c>
      <c r="O252" s="12">
        <v>9.02</v>
      </c>
    </row>
    <row r="253" spans="1:15" x14ac:dyDescent="0.15">
      <c r="A253" s="9">
        <v>1.7</v>
      </c>
      <c r="B253" s="12">
        <v>270.10000000000002</v>
      </c>
      <c r="C253" s="12">
        <v>187.5</v>
      </c>
      <c r="D253" s="12">
        <v>147.9</v>
      </c>
      <c r="E253" s="12">
        <v>122.3</v>
      </c>
      <c r="F253" s="12">
        <v>91.7</v>
      </c>
      <c r="G253" s="12">
        <v>67.400000000000006</v>
      </c>
      <c r="H253" s="12">
        <v>53.7</v>
      </c>
      <c r="I253" s="12">
        <v>39.799999999999997</v>
      </c>
      <c r="J253" s="12">
        <v>31.7</v>
      </c>
      <c r="K253" s="12">
        <v>23.8</v>
      </c>
      <c r="L253" s="12">
        <v>18.8</v>
      </c>
      <c r="M253" s="12">
        <v>15.7</v>
      </c>
      <c r="N253" s="12">
        <v>11</v>
      </c>
      <c r="O253" s="12">
        <v>9.14</v>
      </c>
    </row>
    <row r="254" spans="1:15" x14ac:dyDescent="0.15">
      <c r="A254" s="31">
        <v>1.67</v>
      </c>
      <c r="B254" s="12">
        <v>280</v>
      </c>
      <c r="C254" s="12">
        <v>192.7</v>
      </c>
      <c r="D254" s="12">
        <v>160</v>
      </c>
      <c r="E254" s="12">
        <v>125</v>
      </c>
      <c r="F254" s="12">
        <v>93.6</v>
      </c>
      <c r="G254" s="12">
        <v>68.599999999999994</v>
      </c>
      <c r="H254" s="12">
        <v>54.6</v>
      </c>
      <c r="I254" s="12">
        <v>40.4</v>
      </c>
      <c r="J254" s="12">
        <v>32.1</v>
      </c>
      <c r="K254" s="12">
        <v>24</v>
      </c>
      <c r="L254" s="12">
        <v>19</v>
      </c>
      <c r="M254" s="12">
        <v>15.9</v>
      </c>
      <c r="N254" s="12">
        <v>11.1</v>
      </c>
      <c r="O254" s="12">
        <v>9.2100000000000009</v>
      </c>
    </row>
    <row r="255" spans="1:15" x14ac:dyDescent="0.15">
      <c r="A255" s="31">
        <v>1.6</v>
      </c>
      <c r="B255" s="12">
        <v>284</v>
      </c>
      <c r="C255" s="12">
        <v>204</v>
      </c>
      <c r="D255" s="12">
        <v>163.19999999999999</v>
      </c>
      <c r="E255" s="12">
        <v>131</v>
      </c>
      <c r="F255" s="12">
        <v>97.6</v>
      </c>
      <c r="G255" s="12">
        <v>71.400000000000006</v>
      </c>
      <c r="H255" s="12">
        <v>56.7</v>
      </c>
      <c r="I255" s="12">
        <v>41.8</v>
      </c>
      <c r="J255" s="12">
        <v>33.200000000000003</v>
      </c>
      <c r="K255" s="12">
        <v>24.8</v>
      </c>
      <c r="L255" s="12">
        <v>19.600000000000001</v>
      </c>
      <c r="M255" s="12">
        <v>16.3</v>
      </c>
      <c r="N255" s="12">
        <v>11.3</v>
      </c>
      <c r="O255" s="12">
        <v>9.3800000000000008</v>
      </c>
    </row>
    <row r="256" spans="1:15" s="35" customFormat="1" x14ac:dyDescent="0.15">
      <c r="A256" s="33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</row>
    <row r="257" spans="1:15" x14ac:dyDescent="0.15">
      <c r="A257" s="67" t="s">
        <v>281</v>
      </c>
      <c r="B257" s="30" t="s">
        <v>197</v>
      </c>
      <c r="C257" s="30" t="s">
        <v>156</v>
      </c>
      <c r="D257" s="30" t="s">
        <v>157</v>
      </c>
      <c r="E257" s="30" t="s">
        <v>158</v>
      </c>
      <c r="F257" s="30" t="s">
        <v>159</v>
      </c>
      <c r="G257" s="30" t="s">
        <v>160</v>
      </c>
      <c r="H257" s="30" t="s">
        <v>198</v>
      </c>
      <c r="I257" s="30" t="s">
        <v>199</v>
      </c>
      <c r="J257" s="30" t="s">
        <v>200</v>
      </c>
      <c r="K257" s="30" t="s">
        <v>201</v>
      </c>
      <c r="L257" s="30" t="s">
        <v>202</v>
      </c>
      <c r="M257" s="30" t="s">
        <v>203</v>
      </c>
      <c r="N257" s="30" t="s">
        <v>204</v>
      </c>
      <c r="O257" s="30" t="s">
        <v>205</v>
      </c>
    </row>
    <row r="258" spans="1:15" x14ac:dyDescent="0.15">
      <c r="A258" s="9">
        <v>1.85</v>
      </c>
      <c r="B258" s="12">
        <v>228.4</v>
      </c>
      <c r="C258" s="12">
        <v>171.8</v>
      </c>
      <c r="D258" s="12">
        <v>143.6</v>
      </c>
      <c r="E258" s="12">
        <v>121</v>
      </c>
      <c r="F258" s="12">
        <v>93.3</v>
      </c>
      <c r="G258" s="12">
        <v>69.8</v>
      </c>
      <c r="H258" s="12">
        <v>56.3</v>
      </c>
      <c r="I258" s="12">
        <v>42.4</v>
      </c>
      <c r="J258" s="12">
        <v>34</v>
      </c>
      <c r="K258" s="12">
        <v>25.7</v>
      </c>
      <c r="L258" s="12">
        <v>20.5</v>
      </c>
      <c r="M258" s="12">
        <v>17.2</v>
      </c>
      <c r="N258" s="12">
        <v>12.2</v>
      </c>
      <c r="O258" s="12">
        <v>10.199999999999999</v>
      </c>
    </row>
    <row r="259" spans="1:15" x14ac:dyDescent="0.15">
      <c r="A259" s="9">
        <v>1.8</v>
      </c>
      <c r="B259" s="12">
        <v>262.2</v>
      </c>
      <c r="C259" s="12">
        <v>200.1</v>
      </c>
      <c r="D259" s="12">
        <v>165.2</v>
      </c>
      <c r="E259" s="12">
        <v>138.1</v>
      </c>
      <c r="F259" s="12">
        <v>104.6</v>
      </c>
      <c r="G259" s="12">
        <v>77.5</v>
      </c>
      <c r="H259" s="12">
        <v>61.9</v>
      </c>
      <c r="I259" s="12">
        <v>46.1</v>
      </c>
      <c r="J259" s="12">
        <v>36.799999999999997</v>
      </c>
      <c r="K259" s="12">
        <v>27.7</v>
      </c>
      <c r="L259" s="12">
        <v>22.1</v>
      </c>
      <c r="M259" s="12">
        <v>18.5</v>
      </c>
      <c r="N259" s="12">
        <v>13</v>
      </c>
      <c r="O259" s="12">
        <v>10.9</v>
      </c>
    </row>
    <row r="260" spans="1:15" x14ac:dyDescent="0.15">
      <c r="A260" s="9">
        <v>1.75</v>
      </c>
      <c r="B260" s="12">
        <v>281.7</v>
      </c>
      <c r="C260" s="12">
        <v>211.9</v>
      </c>
      <c r="D260" s="12">
        <v>172.9</v>
      </c>
      <c r="E260" s="12">
        <v>143.5</v>
      </c>
      <c r="F260" s="12">
        <v>108.4</v>
      </c>
      <c r="G260" s="12">
        <v>80.099999999999994</v>
      </c>
      <c r="H260" s="12">
        <v>63.8</v>
      </c>
      <c r="I260" s="12">
        <v>47.4</v>
      </c>
      <c r="J260" s="12">
        <v>37.700000000000003</v>
      </c>
      <c r="K260" s="12">
        <v>28.3</v>
      </c>
      <c r="L260" s="12">
        <v>22.5</v>
      </c>
      <c r="M260" s="12">
        <v>18.8</v>
      </c>
      <c r="N260" s="12">
        <v>13.2</v>
      </c>
      <c r="O260" s="12">
        <v>11</v>
      </c>
    </row>
    <row r="261" spans="1:15" x14ac:dyDescent="0.15">
      <c r="A261" s="9">
        <v>1.7</v>
      </c>
      <c r="B261" s="12">
        <v>300.2</v>
      </c>
      <c r="C261" s="12">
        <v>223.1</v>
      </c>
      <c r="D261" s="12">
        <v>180.7</v>
      </c>
      <c r="E261" s="12">
        <v>149.5</v>
      </c>
      <c r="F261" s="12">
        <v>112.1</v>
      </c>
      <c r="G261" s="12">
        <v>82.4</v>
      </c>
      <c r="H261" s="12">
        <v>65.599999999999994</v>
      </c>
      <c r="I261" s="12">
        <v>48.7</v>
      </c>
      <c r="J261" s="12">
        <v>38.700000000000003</v>
      </c>
      <c r="K261" s="12">
        <v>29</v>
      </c>
      <c r="L261" s="12">
        <v>23</v>
      </c>
      <c r="M261" s="12">
        <v>19.2</v>
      </c>
      <c r="N261" s="12">
        <v>13.4</v>
      </c>
      <c r="O261" s="12">
        <v>11.2</v>
      </c>
    </row>
    <row r="262" spans="1:15" x14ac:dyDescent="0.15">
      <c r="A262" s="31">
        <v>1.67</v>
      </c>
      <c r="B262" s="12">
        <v>310.39999999999998</v>
      </c>
      <c r="C262" s="12">
        <v>229.5</v>
      </c>
      <c r="D262" s="12">
        <v>185</v>
      </c>
      <c r="E262" s="12">
        <v>152.80000000000001</v>
      </c>
      <c r="F262" s="12">
        <v>114.4</v>
      </c>
      <c r="G262" s="12">
        <v>83.9</v>
      </c>
      <c r="H262" s="12">
        <v>66.7</v>
      </c>
      <c r="I262" s="12">
        <v>49.4</v>
      </c>
      <c r="J262" s="12">
        <v>39.200000000000003</v>
      </c>
      <c r="K262" s="12">
        <v>29.4</v>
      </c>
      <c r="L262" s="12">
        <v>23.3</v>
      </c>
      <c r="M262" s="12">
        <v>19.399999999999999</v>
      </c>
      <c r="N262" s="12">
        <v>13.6</v>
      </c>
      <c r="O262" s="12">
        <v>11.3</v>
      </c>
    </row>
    <row r="263" spans="1:15" x14ac:dyDescent="0.15">
      <c r="A263" s="31">
        <v>1.6</v>
      </c>
      <c r="B263" s="12">
        <v>333.5</v>
      </c>
      <c r="C263" s="12">
        <v>243.2</v>
      </c>
      <c r="D263" s="12">
        <v>195</v>
      </c>
      <c r="E263" s="12">
        <v>160.1</v>
      </c>
      <c r="F263" s="12">
        <v>119.3</v>
      </c>
      <c r="G263" s="12">
        <v>87.3</v>
      </c>
      <c r="H263" s="12">
        <v>69.3</v>
      </c>
      <c r="I263" s="12">
        <v>51.1</v>
      </c>
      <c r="J263" s="12">
        <v>40.6</v>
      </c>
      <c r="K263" s="12">
        <v>30.3</v>
      </c>
      <c r="L263" s="12">
        <v>23.9</v>
      </c>
      <c r="M263" s="12">
        <v>19.899999999999999</v>
      </c>
      <c r="N263" s="12">
        <v>13.8</v>
      </c>
      <c r="O263" s="12">
        <v>11.5</v>
      </c>
    </row>
    <row r="264" spans="1:15" s="35" customFormat="1" x14ac:dyDescent="0.15">
      <c r="A264" s="33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</row>
    <row r="265" spans="1:15" x14ac:dyDescent="0.15">
      <c r="A265" s="30" t="s">
        <v>207</v>
      </c>
      <c r="B265" s="30" t="s">
        <v>197</v>
      </c>
      <c r="C265" s="30" t="s">
        <v>156</v>
      </c>
      <c r="D265" s="30" t="s">
        <v>157</v>
      </c>
      <c r="E265" s="30" t="s">
        <v>158</v>
      </c>
      <c r="F265" s="30" t="s">
        <v>159</v>
      </c>
      <c r="G265" s="30" t="s">
        <v>160</v>
      </c>
      <c r="H265" s="30" t="s">
        <v>198</v>
      </c>
      <c r="I265" s="30" t="s">
        <v>199</v>
      </c>
      <c r="J265" s="30" t="s">
        <v>200</v>
      </c>
      <c r="K265" s="30" t="s">
        <v>201</v>
      </c>
      <c r="L265" s="30" t="s">
        <v>202</v>
      </c>
      <c r="M265" s="30" t="s">
        <v>203</v>
      </c>
      <c r="N265" s="30" t="s">
        <v>204</v>
      </c>
      <c r="O265" s="30" t="s">
        <v>205</v>
      </c>
    </row>
    <row r="266" spans="1:15" x14ac:dyDescent="0.15">
      <c r="A266" s="9">
        <v>1.85</v>
      </c>
      <c r="B266" s="12">
        <v>280.3</v>
      </c>
      <c r="C266" s="12">
        <v>200.5</v>
      </c>
      <c r="D266" s="12">
        <v>177.3</v>
      </c>
      <c r="E266" s="12">
        <v>163.4</v>
      </c>
      <c r="F266" s="12">
        <v>127.2</v>
      </c>
      <c r="G266" s="12">
        <v>95.2</v>
      </c>
      <c r="H266" s="12">
        <v>76.8</v>
      </c>
      <c r="I266" s="12">
        <v>57</v>
      </c>
      <c r="J266" s="12">
        <v>46.2</v>
      </c>
      <c r="K266" s="12">
        <v>34.1</v>
      </c>
      <c r="L266" s="12">
        <v>27.2</v>
      </c>
      <c r="M266" s="12">
        <v>22.7</v>
      </c>
      <c r="N266" s="12">
        <v>15.7</v>
      </c>
      <c r="O266" s="12">
        <v>13.1</v>
      </c>
    </row>
    <row r="267" spans="1:15" x14ac:dyDescent="0.15">
      <c r="A267" s="9">
        <v>1.8</v>
      </c>
      <c r="B267" s="12">
        <v>316.8</v>
      </c>
      <c r="C267" s="12">
        <v>220.1</v>
      </c>
      <c r="D267" s="12">
        <v>187.3</v>
      </c>
      <c r="E267" s="12">
        <v>174.5</v>
      </c>
      <c r="F267" s="12">
        <v>142.19999999999999</v>
      </c>
      <c r="G267" s="12">
        <v>105.3</v>
      </c>
      <c r="H267" s="12">
        <v>83.4</v>
      </c>
      <c r="I267" s="12">
        <v>60</v>
      </c>
      <c r="J267" s="12">
        <v>49</v>
      </c>
      <c r="K267" s="12">
        <v>35</v>
      </c>
      <c r="L267" s="12">
        <v>27.9</v>
      </c>
      <c r="M267" s="12">
        <v>23.2</v>
      </c>
      <c r="N267" s="12">
        <v>15.9</v>
      </c>
      <c r="O267" s="12">
        <v>13.3</v>
      </c>
    </row>
    <row r="268" spans="1:15" x14ac:dyDescent="0.15">
      <c r="A268" s="9">
        <v>1.75</v>
      </c>
      <c r="B268" s="12">
        <v>341.5</v>
      </c>
      <c r="C268" s="12">
        <v>240.6</v>
      </c>
      <c r="D268" s="12">
        <v>197.1</v>
      </c>
      <c r="E268" s="12">
        <v>183.3</v>
      </c>
      <c r="F268" s="12">
        <v>147</v>
      </c>
      <c r="G268" s="12">
        <v>108.2</v>
      </c>
      <c r="H268" s="12">
        <v>86.1</v>
      </c>
      <c r="I268" s="12">
        <v>63.7</v>
      </c>
      <c r="J268" s="12">
        <v>50.4</v>
      </c>
      <c r="K268" s="12">
        <v>35.6</v>
      </c>
      <c r="L268" s="12">
        <v>28.3</v>
      </c>
      <c r="M268" s="12">
        <v>23.7</v>
      </c>
      <c r="N268" s="12">
        <v>16.2</v>
      </c>
      <c r="O268" s="12">
        <v>13.5</v>
      </c>
    </row>
    <row r="269" spans="1:15" x14ac:dyDescent="0.15">
      <c r="A269" s="9">
        <v>1.7</v>
      </c>
      <c r="B269" s="12">
        <v>362.9</v>
      </c>
      <c r="C269" s="12">
        <v>255.7</v>
      </c>
      <c r="D269" s="12">
        <v>206.9</v>
      </c>
      <c r="E269" s="12">
        <v>193.1</v>
      </c>
      <c r="F269" s="12">
        <v>150.9</v>
      </c>
      <c r="G269" s="12">
        <v>111.2</v>
      </c>
      <c r="H269" s="12">
        <v>88.9</v>
      </c>
      <c r="I269" s="12">
        <v>64.5</v>
      </c>
      <c r="J269" s="12">
        <v>51.2</v>
      </c>
      <c r="K269" s="12">
        <v>36.200000000000003</v>
      </c>
      <c r="L269" s="12">
        <v>28.9</v>
      </c>
      <c r="M269" s="12">
        <v>24</v>
      </c>
      <c r="N269" s="12">
        <v>16.399999999999999</v>
      </c>
      <c r="O269" s="12">
        <v>13.6</v>
      </c>
    </row>
    <row r="270" spans="1:15" x14ac:dyDescent="0.15">
      <c r="A270" s="31">
        <v>1.67</v>
      </c>
      <c r="B270" s="12">
        <v>376.3</v>
      </c>
      <c r="C270" s="12">
        <v>271.10000000000002</v>
      </c>
      <c r="D270" s="12">
        <v>215</v>
      </c>
      <c r="E270" s="12">
        <v>200.7</v>
      </c>
      <c r="F270" s="12">
        <v>155.9</v>
      </c>
      <c r="G270" s="12">
        <v>114</v>
      </c>
      <c r="H270" s="12">
        <v>90.7</v>
      </c>
      <c r="I270" s="12">
        <v>65.400000000000006</v>
      </c>
      <c r="J270" s="12">
        <v>51.9</v>
      </c>
      <c r="K270" s="12">
        <v>36.6</v>
      </c>
      <c r="L270" s="12">
        <v>29.2</v>
      </c>
      <c r="M270" s="12">
        <v>24.3</v>
      </c>
      <c r="N270" s="12">
        <v>16.600000000000001</v>
      </c>
      <c r="O270" s="12">
        <v>13.8</v>
      </c>
    </row>
    <row r="271" spans="1:15" x14ac:dyDescent="0.15">
      <c r="A271" s="31">
        <v>1.6</v>
      </c>
      <c r="B271" s="12">
        <v>381.6</v>
      </c>
      <c r="C271" s="12">
        <v>290.39999999999998</v>
      </c>
      <c r="D271" s="12">
        <v>225</v>
      </c>
      <c r="E271" s="12">
        <v>209.3</v>
      </c>
      <c r="F271" s="12">
        <v>160.1</v>
      </c>
      <c r="G271" s="12">
        <v>117</v>
      </c>
      <c r="H271" s="12">
        <v>92.8</v>
      </c>
      <c r="I271" s="12">
        <v>66.3</v>
      </c>
      <c r="J271" s="12">
        <v>52.3</v>
      </c>
      <c r="K271" s="12">
        <v>36.799999999999997</v>
      </c>
      <c r="L271" s="12">
        <v>29.5</v>
      </c>
      <c r="M271" s="12">
        <v>24.5</v>
      </c>
      <c r="N271" s="12">
        <v>16.7</v>
      </c>
      <c r="O271" s="12">
        <v>13.9</v>
      </c>
    </row>
    <row r="272" spans="1:15" s="35" customFormat="1" x14ac:dyDescent="0.15">
      <c r="A272" s="33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</row>
    <row r="273" spans="1:15" x14ac:dyDescent="0.15">
      <c r="A273" s="30" t="s">
        <v>208</v>
      </c>
      <c r="B273" s="30" t="s">
        <v>197</v>
      </c>
      <c r="C273" s="30" t="s">
        <v>156</v>
      </c>
      <c r="D273" s="30" t="s">
        <v>157</v>
      </c>
      <c r="E273" s="30" t="s">
        <v>158</v>
      </c>
      <c r="F273" s="30" t="s">
        <v>159</v>
      </c>
      <c r="G273" s="30" t="s">
        <v>160</v>
      </c>
      <c r="H273" s="30" t="s">
        <v>198</v>
      </c>
      <c r="I273" s="30" t="s">
        <v>199</v>
      </c>
      <c r="J273" s="30" t="s">
        <v>200</v>
      </c>
      <c r="K273" s="30" t="s">
        <v>201</v>
      </c>
      <c r="L273" s="30" t="s">
        <v>202</v>
      </c>
      <c r="M273" s="30" t="s">
        <v>203</v>
      </c>
      <c r="N273" s="30" t="s">
        <v>204</v>
      </c>
      <c r="O273" s="30" t="s">
        <v>205</v>
      </c>
    </row>
    <row r="274" spans="1:15" x14ac:dyDescent="0.15">
      <c r="A274" s="9">
        <v>1.85</v>
      </c>
      <c r="B274" s="12">
        <v>301.39999999999998</v>
      </c>
      <c r="C274" s="12">
        <v>225.9</v>
      </c>
      <c r="D274" s="12">
        <v>189.1</v>
      </c>
      <c r="E274" s="12">
        <v>159.4</v>
      </c>
      <c r="F274" s="12">
        <v>135.19999999999999</v>
      </c>
      <c r="G274" s="12">
        <v>98.9</v>
      </c>
      <c r="H274" s="12">
        <v>78.599999999999994</v>
      </c>
      <c r="I274" s="12">
        <v>57.8</v>
      </c>
      <c r="J274" s="12">
        <v>46.4</v>
      </c>
      <c r="K274" s="12">
        <v>35.1</v>
      </c>
      <c r="L274" s="12">
        <v>28</v>
      </c>
      <c r="M274" s="12">
        <v>23.5</v>
      </c>
      <c r="N274" s="12">
        <v>16.600000000000001</v>
      </c>
      <c r="O274" s="12">
        <v>13.9</v>
      </c>
    </row>
    <row r="275" spans="1:15" x14ac:dyDescent="0.15">
      <c r="A275" s="9">
        <v>1.8</v>
      </c>
      <c r="B275" s="12">
        <v>349.5</v>
      </c>
      <c r="C275" s="12">
        <v>265.3</v>
      </c>
      <c r="D275" s="12">
        <v>219.2</v>
      </c>
      <c r="E275" s="12">
        <v>183.1</v>
      </c>
      <c r="F275" s="12">
        <v>142.6</v>
      </c>
      <c r="G275" s="12">
        <v>105.7</v>
      </c>
      <c r="H275" s="12">
        <v>84.4</v>
      </c>
      <c r="I275" s="12">
        <v>61</v>
      </c>
      <c r="J275" s="12">
        <v>49.2</v>
      </c>
      <c r="K275" s="12">
        <v>36.700000000000003</v>
      </c>
      <c r="L275" s="12">
        <v>30.1</v>
      </c>
      <c r="M275" s="12">
        <v>25.2</v>
      </c>
      <c r="N275" s="12">
        <v>17.7</v>
      </c>
      <c r="O275" s="12">
        <v>14.8</v>
      </c>
    </row>
    <row r="276" spans="1:15" x14ac:dyDescent="0.15">
      <c r="A276" s="9">
        <v>1.75</v>
      </c>
      <c r="B276" s="12">
        <v>384.2</v>
      </c>
      <c r="C276" s="12">
        <v>283</v>
      </c>
      <c r="D276" s="12">
        <v>232.7</v>
      </c>
      <c r="E276" s="12">
        <v>191</v>
      </c>
      <c r="F276" s="12">
        <v>147.80000000000001</v>
      </c>
      <c r="G276" s="12">
        <v>109.2</v>
      </c>
      <c r="H276" s="12">
        <v>86.9</v>
      </c>
      <c r="I276" s="12">
        <v>64</v>
      </c>
      <c r="J276" s="12">
        <v>51.4</v>
      </c>
      <c r="K276" s="12">
        <v>38</v>
      </c>
      <c r="L276" s="12">
        <v>30.7</v>
      </c>
      <c r="M276" s="12">
        <v>25.7</v>
      </c>
      <c r="N276" s="12">
        <v>18</v>
      </c>
      <c r="O276" s="12">
        <v>15</v>
      </c>
    </row>
    <row r="277" spans="1:15" x14ac:dyDescent="0.15">
      <c r="A277" s="9">
        <v>1.7</v>
      </c>
      <c r="B277" s="12">
        <v>409.3</v>
      </c>
      <c r="C277" s="12">
        <v>304.2</v>
      </c>
      <c r="D277" s="12">
        <v>246.5</v>
      </c>
      <c r="E277" s="12">
        <v>203.9</v>
      </c>
      <c r="F277" s="12">
        <v>152.9</v>
      </c>
      <c r="G277" s="12">
        <v>112.4</v>
      </c>
      <c r="H277" s="12">
        <v>89.5</v>
      </c>
      <c r="I277" s="12">
        <v>66.400000000000006</v>
      </c>
      <c r="J277" s="12">
        <v>52.8</v>
      </c>
      <c r="K277" s="12">
        <v>39.1</v>
      </c>
      <c r="L277" s="12">
        <v>31.4</v>
      </c>
      <c r="M277" s="12">
        <v>26.2</v>
      </c>
      <c r="N277" s="12">
        <v>18.3</v>
      </c>
      <c r="O277" s="12">
        <v>15.2</v>
      </c>
    </row>
    <row r="278" spans="1:15" x14ac:dyDescent="0.15">
      <c r="A278" s="31">
        <v>1.67</v>
      </c>
      <c r="B278" s="12">
        <v>418.3</v>
      </c>
      <c r="C278" s="12">
        <v>312.89999999999998</v>
      </c>
      <c r="D278" s="12">
        <v>255</v>
      </c>
      <c r="E278" s="12">
        <v>209.4</v>
      </c>
      <c r="F278" s="12">
        <v>158.6</v>
      </c>
      <c r="G278" s="12">
        <v>114.4</v>
      </c>
      <c r="H278" s="12">
        <v>90.9</v>
      </c>
      <c r="I278" s="12">
        <v>67.3</v>
      </c>
      <c r="J278" s="12">
        <v>53.5</v>
      </c>
      <c r="K278" s="12">
        <v>39.799999999999997</v>
      </c>
      <c r="L278" s="12">
        <v>31.7</v>
      </c>
      <c r="M278" s="12">
        <v>26.5</v>
      </c>
      <c r="N278" s="12">
        <v>18.5</v>
      </c>
      <c r="O278" s="12">
        <v>15.4</v>
      </c>
    </row>
    <row r="279" spans="1:15" x14ac:dyDescent="0.15">
      <c r="A279" s="31">
        <v>1.6</v>
      </c>
      <c r="B279" s="12">
        <v>424.6</v>
      </c>
      <c r="C279" s="12">
        <v>331.7</v>
      </c>
      <c r="D279" s="12">
        <v>265.89999999999998</v>
      </c>
      <c r="E279" s="12">
        <v>223.3</v>
      </c>
      <c r="F279" s="12">
        <v>162.6</v>
      </c>
      <c r="G279" s="12">
        <v>119</v>
      </c>
      <c r="H279" s="12">
        <v>94.5</v>
      </c>
      <c r="I279" s="12">
        <v>69.3</v>
      </c>
      <c r="J279" s="12">
        <v>55.1</v>
      </c>
      <c r="K279" s="12">
        <v>40.4</v>
      </c>
      <c r="L279" s="12">
        <v>32.6</v>
      </c>
      <c r="M279" s="12">
        <v>27.1</v>
      </c>
      <c r="N279" s="12">
        <v>18.899999999999999</v>
      </c>
      <c r="O279" s="12">
        <v>15.6</v>
      </c>
    </row>
    <row r="280" spans="1:15" s="35" customFormat="1" x14ac:dyDescent="0.15">
      <c r="A280" s="33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</row>
    <row r="281" spans="1:15" x14ac:dyDescent="0.15">
      <c r="A281" s="30" t="s">
        <v>209</v>
      </c>
      <c r="B281" s="30" t="s">
        <v>197</v>
      </c>
      <c r="C281" s="30" t="s">
        <v>156</v>
      </c>
      <c r="D281" s="30" t="s">
        <v>157</v>
      </c>
      <c r="E281" s="30" t="s">
        <v>158</v>
      </c>
      <c r="F281" s="30" t="s">
        <v>159</v>
      </c>
      <c r="G281" s="30" t="s">
        <v>160</v>
      </c>
      <c r="H281" s="30" t="s">
        <v>198</v>
      </c>
      <c r="I281" s="30" t="s">
        <v>199</v>
      </c>
      <c r="J281" s="30" t="s">
        <v>200</v>
      </c>
      <c r="K281" s="30" t="s">
        <v>201</v>
      </c>
      <c r="L281" s="30" t="s">
        <v>202</v>
      </c>
      <c r="M281" s="30" t="s">
        <v>203</v>
      </c>
      <c r="N281" s="30" t="s">
        <v>204</v>
      </c>
      <c r="O281" s="30" t="s">
        <v>205</v>
      </c>
    </row>
    <row r="282" spans="1:15" x14ac:dyDescent="0.15">
      <c r="A282" s="9">
        <v>1.85</v>
      </c>
      <c r="B282" s="12">
        <v>333.9</v>
      </c>
      <c r="C282" s="12">
        <v>273.3</v>
      </c>
      <c r="D282" s="12">
        <v>251</v>
      </c>
      <c r="E282" s="12">
        <v>192.3</v>
      </c>
      <c r="F282" s="12">
        <v>138.19999999999999</v>
      </c>
      <c r="G282" s="12">
        <v>105.4</v>
      </c>
      <c r="H282" s="12">
        <v>80.5</v>
      </c>
      <c r="I282" s="12">
        <v>55.4</v>
      </c>
      <c r="J282" s="12">
        <v>44.3</v>
      </c>
      <c r="K282" s="12">
        <v>37.200000000000003</v>
      </c>
      <c r="L282" s="12">
        <v>29.5</v>
      </c>
      <c r="M282" s="12">
        <v>25.7</v>
      </c>
      <c r="N282" s="12">
        <v>17.100000000000001</v>
      </c>
      <c r="O282" s="12">
        <v>14.8</v>
      </c>
    </row>
    <row r="283" spans="1:15" x14ac:dyDescent="0.15">
      <c r="A283" s="9">
        <v>1.8</v>
      </c>
      <c r="B283" s="12">
        <v>367.3</v>
      </c>
      <c r="C283" s="12">
        <v>297.39999999999998</v>
      </c>
      <c r="D283" s="12">
        <v>262.8</v>
      </c>
      <c r="E283" s="12">
        <v>214.1</v>
      </c>
      <c r="F283" s="12">
        <v>147.80000000000001</v>
      </c>
      <c r="G283" s="12">
        <v>111.5</v>
      </c>
      <c r="H283" s="12">
        <v>85.1</v>
      </c>
      <c r="I283" s="12">
        <v>58.6</v>
      </c>
      <c r="J283" s="12">
        <v>46.9</v>
      </c>
      <c r="K283" s="12">
        <v>38.9</v>
      </c>
      <c r="L283" s="12">
        <v>31.1</v>
      </c>
      <c r="M283" s="12">
        <v>26.5</v>
      </c>
      <c r="N283" s="12">
        <v>17.8</v>
      </c>
      <c r="O283" s="12">
        <v>15.3</v>
      </c>
    </row>
    <row r="284" spans="1:15" x14ac:dyDescent="0.15">
      <c r="A284" s="9">
        <v>1.75</v>
      </c>
      <c r="B284" s="12">
        <v>400.7</v>
      </c>
      <c r="C284" s="12">
        <v>321.5</v>
      </c>
      <c r="D284" s="12">
        <v>281.89999999999998</v>
      </c>
      <c r="E284" s="12">
        <v>216.8</v>
      </c>
      <c r="F284" s="12">
        <v>151</v>
      </c>
      <c r="G284" s="12">
        <v>114.3</v>
      </c>
      <c r="H284" s="12">
        <v>87.2</v>
      </c>
      <c r="I284" s="12">
        <v>60</v>
      </c>
      <c r="J284" s="12">
        <v>48</v>
      </c>
      <c r="K284" s="12">
        <v>39.799999999999997</v>
      </c>
      <c r="L284" s="12">
        <v>31.6</v>
      </c>
      <c r="M284" s="12">
        <v>26.8</v>
      </c>
      <c r="N284" s="12">
        <v>18.2</v>
      </c>
      <c r="O284" s="12">
        <v>15.6</v>
      </c>
    </row>
    <row r="285" spans="1:15" x14ac:dyDescent="0.15">
      <c r="A285" s="9">
        <v>1.7</v>
      </c>
      <c r="B285" s="12">
        <v>434.1</v>
      </c>
      <c r="C285" s="12">
        <v>345.6</v>
      </c>
      <c r="D285" s="12">
        <v>291</v>
      </c>
      <c r="E285" s="12">
        <v>221.1</v>
      </c>
      <c r="F285" s="12">
        <v>153.80000000000001</v>
      </c>
      <c r="G285" s="12">
        <v>115.9</v>
      </c>
      <c r="H285" s="12">
        <v>88.5</v>
      </c>
      <c r="I285" s="12">
        <v>60.9</v>
      </c>
      <c r="J285" s="12">
        <v>48.7</v>
      </c>
      <c r="K285" s="12">
        <v>40.4</v>
      </c>
      <c r="L285" s="12">
        <v>31.9</v>
      </c>
      <c r="M285" s="12">
        <v>27</v>
      </c>
      <c r="N285" s="12">
        <v>18.399999999999999</v>
      </c>
      <c r="O285" s="12">
        <v>15.7</v>
      </c>
    </row>
    <row r="286" spans="1:15" x14ac:dyDescent="0.15">
      <c r="A286" s="31">
        <v>1.67</v>
      </c>
      <c r="B286" s="12">
        <v>474.1</v>
      </c>
      <c r="C286" s="12">
        <v>368.1</v>
      </c>
      <c r="D286" s="12">
        <v>300</v>
      </c>
      <c r="E286" s="12">
        <v>225.4</v>
      </c>
      <c r="F286" s="12">
        <v>154.19999999999999</v>
      </c>
      <c r="G286" s="12">
        <v>116.7</v>
      </c>
      <c r="H286" s="12">
        <v>89.1</v>
      </c>
      <c r="I286" s="12">
        <v>61.3</v>
      </c>
      <c r="J286" s="12">
        <v>49</v>
      </c>
      <c r="K286" s="12">
        <v>40.6</v>
      </c>
      <c r="L286" s="12">
        <v>32.1</v>
      </c>
      <c r="M286" s="12">
        <v>27.1</v>
      </c>
      <c r="N286" s="12">
        <v>18.399999999999999</v>
      </c>
      <c r="O286" s="12">
        <v>15.8</v>
      </c>
    </row>
    <row r="287" spans="1:15" x14ac:dyDescent="0.15">
      <c r="A287" s="31">
        <v>1.6</v>
      </c>
      <c r="B287" s="12">
        <v>484.2</v>
      </c>
      <c r="C287" s="12">
        <v>376.2</v>
      </c>
      <c r="D287" s="12">
        <v>304.7</v>
      </c>
      <c r="E287" s="12">
        <v>231.6</v>
      </c>
      <c r="F287" s="12">
        <v>156.6</v>
      </c>
      <c r="G287" s="12">
        <v>118</v>
      </c>
      <c r="H287" s="12">
        <v>90.1</v>
      </c>
      <c r="I287" s="12">
        <v>62</v>
      </c>
      <c r="J287" s="12">
        <v>49.6</v>
      </c>
      <c r="K287" s="12">
        <v>40.9</v>
      </c>
      <c r="L287" s="12">
        <v>32.299999999999997</v>
      </c>
      <c r="M287" s="12">
        <v>27.2</v>
      </c>
      <c r="N287" s="12">
        <v>18.600000000000001</v>
      </c>
      <c r="O287" s="12">
        <v>15.9</v>
      </c>
    </row>
    <row r="288" spans="1:15" s="35" customFormat="1" x14ac:dyDescent="0.15">
      <c r="A288" s="33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</row>
    <row r="289" spans="1:15" x14ac:dyDescent="0.15">
      <c r="A289" s="30" t="s">
        <v>210</v>
      </c>
      <c r="B289" s="30" t="s">
        <v>197</v>
      </c>
      <c r="C289" s="30" t="s">
        <v>156</v>
      </c>
      <c r="D289" s="30" t="s">
        <v>157</v>
      </c>
      <c r="E289" s="30" t="s">
        <v>158</v>
      </c>
      <c r="F289" s="30" t="s">
        <v>159</v>
      </c>
      <c r="G289" s="30" t="s">
        <v>160</v>
      </c>
      <c r="H289" s="30" t="s">
        <v>198</v>
      </c>
      <c r="I289" s="30" t="s">
        <v>199</v>
      </c>
      <c r="J289" s="30" t="s">
        <v>200</v>
      </c>
      <c r="K289" s="30" t="s">
        <v>201</v>
      </c>
      <c r="L289" s="30" t="s">
        <v>202</v>
      </c>
      <c r="M289" s="30" t="s">
        <v>203</v>
      </c>
      <c r="N289" s="30" t="s">
        <v>204</v>
      </c>
      <c r="O289" s="30" t="s">
        <v>205</v>
      </c>
    </row>
    <row r="290" spans="1:15" x14ac:dyDescent="0.15">
      <c r="A290" s="9">
        <v>1.85</v>
      </c>
      <c r="B290" s="12">
        <v>306.2</v>
      </c>
      <c r="C290" s="12">
        <v>260.2</v>
      </c>
      <c r="D290" s="12">
        <v>225.5</v>
      </c>
      <c r="E290" s="12">
        <v>189.3</v>
      </c>
      <c r="F290" s="12">
        <v>138</v>
      </c>
      <c r="G290" s="12">
        <v>118.6</v>
      </c>
      <c r="H290" s="12">
        <v>99.1</v>
      </c>
      <c r="I290" s="12">
        <v>64.599999999999994</v>
      </c>
      <c r="J290" s="12">
        <v>54.3</v>
      </c>
      <c r="K290" s="12">
        <v>41.4</v>
      </c>
      <c r="L290" s="12">
        <v>32.9</v>
      </c>
      <c r="M290" s="12">
        <v>28.1</v>
      </c>
      <c r="N290" s="12">
        <v>19.100000000000001</v>
      </c>
      <c r="O290" s="12">
        <v>15.4</v>
      </c>
    </row>
    <row r="291" spans="1:15" x14ac:dyDescent="0.15">
      <c r="A291" s="9">
        <v>1.8</v>
      </c>
      <c r="B291" s="12">
        <v>348.5</v>
      </c>
      <c r="C291" s="12">
        <v>295</v>
      </c>
      <c r="D291" s="12">
        <v>260.60000000000002</v>
      </c>
      <c r="E291" s="12">
        <v>210.7</v>
      </c>
      <c r="F291" s="12">
        <v>150.4</v>
      </c>
      <c r="G291" s="12">
        <v>121.5</v>
      </c>
      <c r="H291" s="12">
        <v>101.7</v>
      </c>
      <c r="I291" s="12">
        <v>66.400000000000006</v>
      </c>
      <c r="J291" s="12">
        <v>55.8</v>
      </c>
      <c r="K291" s="12">
        <v>42.5</v>
      </c>
      <c r="L291" s="12">
        <v>33.700000000000003</v>
      </c>
      <c r="M291" s="12">
        <v>28.7</v>
      </c>
      <c r="N291" s="12">
        <v>19.5</v>
      </c>
      <c r="O291" s="12">
        <v>15.6</v>
      </c>
    </row>
    <row r="292" spans="1:15" x14ac:dyDescent="0.15">
      <c r="A292" s="9">
        <v>1.75</v>
      </c>
      <c r="B292" s="12">
        <v>397.8</v>
      </c>
      <c r="C292" s="12">
        <v>328</v>
      </c>
      <c r="D292" s="12">
        <v>290</v>
      </c>
      <c r="E292" s="12">
        <v>222.7</v>
      </c>
      <c r="F292" s="12">
        <v>152.80000000000001</v>
      </c>
      <c r="G292" s="12">
        <v>125.1</v>
      </c>
      <c r="H292" s="12">
        <v>104.6</v>
      </c>
      <c r="I292" s="12">
        <v>68.099999999999994</v>
      </c>
      <c r="J292" s="12">
        <v>57.2</v>
      </c>
      <c r="K292" s="12">
        <v>43.4</v>
      </c>
      <c r="L292" s="12">
        <v>34.4</v>
      </c>
      <c r="M292" s="12">
        <v>29.3</v>
      </c>
      <c r="N292" s="12">
        <v>19.8</v>
      </c>
      <c r="O292" s="12">
        <v>15.9</v>
      </c>
    </row>
    <row r="293" spans="1:15" x14ac:dyDescent="0.15">
      <c r="A293" s="9">
        <v>1.7</v>
      </c>
      <c r="B293" s="12">
        <v>437.8</v>
      </c>
      <c r="C293" s="12">
        <v>361.8</v>
      </c>
      <c r="D293" s="12">
        <v>315</v>
      </c>
      <c r="E293" s="12">
        <v>234.5</v>
      </c>
      <c r="F293" s="12">
        <v>154.4</v>
      </c>
      <c r="G293" s="12">
        <v>127.2</v>
      </c>
      <c r="H293" s="12">
        <v>106.2</v>
      </c>
      <c r="I293" s="12">
        <v>69</v>
      </c>
      <c r="J293" s="12">
        <v>57.8</v>
      </c>
      <c r="K293" s="12">
        <v>43.9</v>
      </c>
      <c r="L293" s="12">
        <v>34.799999999999997</v>
      </c>
      <c r="M293" s="12">
        <v>29.6</v>
      </c>
      <c r="N293" s="12">
        <v>20</v>
      </c>
      <c r="O293" s="12">
        <v>16</v>
      </c>
    </row>
    <row r="294" spans="1:15" x14ac:dyDescent="0.15">
      <c r="A294" s="31">
        <v>1.67</v>
      </c>
      <c r="B294" s="12">
        <v>467.5</v>
      </c>
      <c r="C294" s="12">
        <v>396</v>
      </c>
      <c r="D294" s="12">
        <v>330</v>
      </c>
      <c r="E294" s="12">
        <v>247.9</v>
      </c>
      <c r="F294" s="12">
        <v>156</v>
      </c>
      <c r="G294" s="12">
        <v>129</v>
      </c>
      <c r="H294" s="12">
        <v>107.4</v>
      </c>
      <c r="I294" s="12">
        <v>69.7</v>
      </c>
      <c r="J294" s="12">
        <v>58.3</v>
      </c>
      <c r="K294" s="12">
        <v>44.4</v>
      </c>
      <c r="L294" s="12">
        <v>35.1</v>
      </c>
      <c r="M294" s="12">
        <v>29.8</v>
      </c>
      <c r="N294" s="12">
        <v>20.100000000000001</v>
      </c>
      <c r="O294" s="12">
        <v>16.100000000000001</v>
      </c>
    </row>
    <row r="295" spans="1:15" x14ac:dyDescent="0.15">
      <c r="A295" s="31">
        <v>1.6</v>
      </c>
      <c r="B295" s="12">
        <v>493</v>
      </c>
      <c r="C295" s="12">
        <v>403.2</v>
      </c>
      <c r="D295" s="12">
        <v>336</v>
      </c>
      <c r="E295" s="12">
        <v>262</v>
      </c>
      <c r="F295" s="12">
        <v>157.6</v>
      </c>
      <c r="G295" s="12">
        <v>130.69999999999999</v>
      </c>
      <c r="H295" s="12">
        <v>108.6</v>
      </c>
      <c r="I295" s="12">
        <v>70.7</v>
      </c>
      <c r="J295" s="12">
        <v>59</v>
      </c>
      <c r="K295" s="12">
        <v>44.9</v>
      </c>
      <c r="L295" s="12">
        <v>35.5</v>
      </c>
      <c r="M295" s="12">
        <v>30.2</v>
      </c>
      <c r="N295" s="12">
        <v>20.3</v>
      </c>
      <c r="O295" s="12">
        <v>16.3</v>
      </c>
    </row>
    <row r="296" spans="1:15" s="35" customFormat="1" x14ac:dyDescent="0.15">
      <c r="A296" s="33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</row>
    <row r="297" spans="1:15" x14ac:dyDescent="0.15">
      <c r="A297" s="30" t="s">
        <v>211</v>
      </c>
      <c r="B297" s="30" t="s">
        <v>197</v>
      </c>
      <c r="C297" s="30" t="s">
        <v>156</v>
      </c>
      <c r="D297" s="30" t="s">
        <v>157</v>
      </c>
      <c r="E297" s="30" t="s">
        <v>158</v>
      </c>
      <c r="F297" s="30" t="s">
        <v>159</v>
      </c>
      <c r="G297" s="30" t="s">
        <v>160</v>
      </c>
      <c r="H297" s="30" t="s">
        <v>198</v>
      </c>
      <c r="I297" s="30" t="s">
        <v>199</v>
      </c>
      <c r="J297" s="30" t="s">
        <v>200</v>
      </c>
      <c r="K297" s="30" t="s">
        <v>201</v>
      </c>
      <c r="L297" s="30" t="s">
        <v>202</v>
      </c>
      <c r="M297" s="30" t="s">
        <v>203</v>
      </c>
      <c r="N297" s="30" t="s">
        <v>204</v>
      </c>
      <c r="O297" s="30" t="s">
        <v>205</v>
      </c>
    </row>
    <row r="298" spans="1:15" x14ac:dyDescent="0.15">
      <c r="A298" s="9">
        <v>1.85</v>
      </c>
      <c r="B298" s="12">
        <v>456</v>
      </c>
      <c r="C298" s="12">
        <v>378.5</v>
      </c>
      <c r="D298" s="12">
        <v>301.10000000000002</v>
      </c>
      <c r="E298" s="12">
        <v>227.4</v>
      </c>
      <c r="F298" s="12">
        <v>172.5</v>
      </c>
      <c r="G298" s="12">
        <v>130.1</v>
      </c>
      <c r="H298" s="12">
        <v>105.6</v>
      </c>
      <c r="I298" s="12">
        <v>76</v>
      </c>
      <c r="J298" s="12">
        <v>63.3</v>
      </c>
      <c r="K298" s="12">
        <v>48</v>
      </c>
      <c r="L298" s="12">
        <v>39.299999999999997</v>
      </c>
      <c r="M298" s="12">
        <v>33.700000000000003</v>
      </c>
      <c r="N298" s="12">
        <v>23.9</v>
      </c>
      <c r="O298" s="12">
        <v>20</v>
      </c>
    </row>
    <row r="299" spans="1:15" x14ac:dyDescent="0.15">
      <c r="A299" s="9">
        <v>1.8</v>
      </c>
      <c r="B299" s="12">
        <v>515.4</v>
      </c>
      <c r="C299" s="12">
        <v>421.8</v>
      </c>
      <c r="D299" s="12">
        <v>335.6</v>
      </c>
      <c r="E299" s="12">
        <v>243.9</v>
      </c>
      <c r="F299" s="12">
        <v>184.9</v>
      </c>
      <c r="G299" s="12">
        <v>137.6</v>
      </c>
      <c r="H299" s="12">
        <v>111.3</v>
      </c>
      <c r="I299" s="12">
        <v>79.900000000000006</v>
      </c>
      <c r="J299" s="12">
        <v>66.5</v>
      </c>
      <c r="K299" s="12">
        <v>49.9</v>
      </c>
      <c r="L299" s="12">
        <v>41</v>
      </c>
      <c r="M299" s="12">
        <v>34.9</v>
      </c>
      <c r="N299" s="12">
        <v>24.5</v>
      </c>
      <c r="O299" s="12">
        <v>20.5</v>
      </c>
    </row>
    <row r="300" spans="1:15" x14ac:dyDescent="0.15">
      <c r="A300" s="9">
        <v>1.75</v>
      </c>
      <c r="B300" s="12">
        <v>555.5</v>
      </c>
      <c r="C300" s="12">
        <v>440.2</v>
      </c>
      <c r="D300" s="12">
        <v>350.2</v>
      </c>
      <c r="E300" s="12">
        <v>264.89999999999998</v>
      </c>
      <c r="F300" s="12">
        <v>198.6</v>
      </c>
      <c r="G300" s="12">
        <v>145.5</v>
      </c>
      <c r="H300" s="12">
        <v>117.6</v>
      </c>
      <c r="I300" s="12">
        <v>84.4</v>
      </c>
      <c r="J300" s="12">
        <v>69.3</v>
      </c>
      <c r="K300" s="12">
        <v>51.6</v>
      </c>
      <c r="L300" s="12">
        <v>42.5</v>
      </c>
      <c r="M300" s="12">
        <v>36</v>
      </c>
      <c r="N300" s="12">
        <v>24.9</v>
      </c>
      <c r="O300" s="12">
        <v>20.6</v>
      </c>
    </row>
    <row r="301" spans="1:15" x14ac:dyDescent="0.15">
      <c r="A301" s="9">
        <v>1.7</v>
      </c>
      <c r="B301" s="12">
        <v>590.29999999999995</v>
      </c>
      <c r="C301" s="12">
        <v>445.7</v>
      </c>
      <c r="D301" s="12">
        <v>354.5</v>
      </c>
      <c r="E301" s="12">
        <v>280.39999999999998</v>
      </c>
      <c r="F301" s="12">
        <v>206.6</v>
      </c>
      <c r="G301" s="12">
        <v>153.30000000000001</v>
      </c>
      <c r="H301" s="12">
        <v>122.3</v>
      </c>
      <c r="I301" s="12">
        <v>87.7</v>
      </c>
      <c r="J301" s="12">
        <v>71.5</v>
      </c>
      <c r="K301" s="12">
        <v>53.1</v>
      </c>
      <c r="L301" s="12">
        <v>43.3</v>
      </c>
      <c r="M301" s="12">
        <v>36.4</v>
      </c>
      <c r="N301" s="12">
        <v>25.2</v>
      </c>
      <c r="O301" s="12">
        <v>20.8</v>
      </c>
    </row>
    <row r="302" spans="1:15" x14ac:dyDescent="0.15">
      <c r="A302" s="31">
        <v>1.67</v>
      </c>
      <c r="B302" s="12">
        <v>612</v>
      </c>
      <c r="C302" s="12">
        <v>452.5</v>
      </c>
      <c r="D302" s="12">
        <v>360</v>
      </c>
      <c r="E302" s="12">
        <v>292.3</v>
      </c>
      <c r="F302" s="12">
        <v>214</v>
      </c>
      <c r="G302" s="12">
        <v>157.1</v>
      </c>
      <c r="H302" s="12">
        <v>125.7</v>
      </c>
      <c r="I302" s="12">
        <v>90.1</v>
      </c>
      <c r="J302" s="12">
        <v>73.400000000000006</v>
      </c>
      <c r="K302" s="12">
        <v>54.5</v>
      </c>
      <c r="L302" s="12">
        <v>44.2</v>
      </c>
      <c r="M302" s="12">
        <v>37</v>
      </c>
      <c r="N302" s="12">
        <v>25.5</v>
      </c>
      <c r="O302" s="12">
        <v>20.9</v>
      </c>
    </row>
    <row r="303" spans="1:15" x14ac:dyDescent="0.15">
      <c r="A303" s="31">
        <v>1.6</v>
      </c>
      <c r="B303" s="12">
        <v>620.79999999999995</v>
      </c>
      <c r="C303" s="12">
        <v>459.4</v>
      </c>
      <c r="D303" s="12">
        <v>365.5</v>
      </c>
      <c r="E303" s="12">
        <v>299</v>
      </c>
      <c r="F303" s="12">
        <v>219</v>
      </c>
      <c r="G303" s="12">
        <v>159.69999999999999</v>
      </c>
      <c r="H303" s="12">
        <v>128.19999999999999</v>
      </c>
      <c r="I303" s="12">
        <v>91.7</v>
      </c>
      <c r="J303" s="12">
        <v>73.900000000000006</v>
      </c>
      <c r="K303" s="12">
        <v>55</v>
      </c>
      <c r="L303" s="12">
        <v>44.6</v>
      </c>
      <c r="M303" s="12">
        <v>37.4</v>
      </c>
      <c r="N303" s="12">
        <v>25.6</v>
      </c>
      <c r="O303" s="12">
        <v>21.2</v>
      </c>
    </row>
    <row r="304" spans="1:15" s="35" customFormat="1" x14ac:dyDescent="0.15">
      <c r="A304" s="33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</row>
    <row r="305" spans="1:15" x14ac:dyDescent="0.15">
      <c r="A305" s="30" t="s">
        <v>212</v>
      </c>
      <c r="B305" s="30" t="s">
        <v>197</v>
      </c>
      <c r="C305" s="30" t="s">
        <v>156</v>
      </c>
      <c r="D305" s="30" t="s">
        <v>157</v>
      </c>
      <c r="E305" s="30" t="s">
        <v>158</v>
      </c>
      <c r="F305" s="30" t="s">
        <v>159</v>
      </c>
      <c r="G305" s="30" t="s">
        <v>160</v>
      </c>
      <c r="H305" s="30" t="s">
        <v>198</v>
      </c>
      <c r="I305" s="30" t="s">
        <v>199</v>
      </c>
      <c r="J305" s="30" t="s">
        <v>200</v>
      </c>
      <c r="K305" s="30" t="s">
        <v>201</v>
      </c>
      <c r="L305" s="30" t="s">
        <v>202</v>
      </c>
      <c r="M305" s="30" t="s">
        <v>203</v>
      </c>
      <c r="N305" s="30" t="s">
        <v>204</v>
      </c>
      <c r="O305" s="30" t="s">
        <v>205</v>
      </c>
    </row>
    <row r="306" spans="1:15" x14ac:dyDescent="0.15">
      <c r="A306" s="9">
        <v>1.85</v>
      </c>
      <c r="B306" s="12">
        <v>506.7</v>
      </c>
      <c r="C306" s="12">
        <v>420.6</v>
      </c>
      <c r="D306" s="12">
        <v>334.5</v>
      </c>
      <c r="E306" s="12">
        <v>273.8</v>
      </c>
      <c r="F306" s="12">
        <v>198.9</v>
      </c>
      <c r="G306" s="12">
        <v>143.80000000000001</v>
      </c>
      <c r="H306" s="12">
        <v>113.4</v>
      </c>
      <c r="I306" s="12">
        <v>81.099999999999994</v>
      </c>
      <c r="J306" s="12">
        <v>64.900000000000006</v>
      </c>
      <c r="K306" s="12">
        <v>48</v>
      </c>
      <c r="L306" s="12">
        <v>39.5</v>
      </c>
      <c r="M306" s="12">
        <v>33.700000000000003</v>
      </c>
      <c r="N306" s="12">
        <v>24</v>
      </c>
      <c r="O306" s="12">
        <v>20</v>
      </c>
    </row>
    <row r="307" spans="1:15" x14ac:dyDescent="0.15">
      <c r="A307" s="9">
        <v>1.8</v>
      </c>
      <c r="B307" s="12">
        <v>572.6</v>
      </c>
      <c r="C307" s="12">
        <v>468.7</v>
      </c>
      <c r="D307" s="12">
        <v>372.8</v>
      </c>
      <c r="E307" s="12">
        <v>305.10000000000002</v>
      </c>
      <c r="F307" s="12">
        <v>209.9</v>
      </c>
      <c r="G307" s="12">
        <v>151.80000000000001</v>
      </c>
      <c r="H307" s="12">
        <v>120.1</v>
      </c>
      <c r="I307" s="12">
        <v>85.5</v>
      </c>
      <c r="J307" s="12">
        <v>68.099999999999994</v>
      </c>
      <c r="K307" s="12">
        <v>50.1</v>
      </c>
      <c r="L307" s="12">
        <v>41</v>
      </c>
      <c r="M307" s="12">
        <v>35</v>
      </c>
      <c r="N307" s="12">
        <v>24.5</v>
      </c>
      <c r="O307" s="12">
        <v>20.5</v>
      </c>
    </row>
    <row r="308" spans="1:15" x14ac:dyDescent="0.15">
      <c r="A308" s="9">
        <v>1.75</v>
      </c>
      <c r="B308" s="12">
        <v>617.20000000000005</v>
      </c>
      <c r="C308" s="12">
        <v>489.1</v>
      </c>
      <c r="D308" s="12">
        <v>389.1</v>
      </c>
      <c r="E308" s="12">
        <v>318.39999999999998</v>
      </c>
      <c r="F308" s="12">
        <v>219.2</v>
      </c>
      <c r="G308" s="12">
        <v>157.69999999999999</v>
      </c>
      <c r="H308" s="12">
        <v>124.8</v>
      </c>
      <c r="I308" s="12">
        <v>88.4</v>
      </c>
      <c r="J308" s="12">
        <v>70.3</v>
      </c>
      <c r="K308" s="12">
        <v>51.8</v>
      </c>
      <c r="L308" s="12">
        <v>42.4</v>
      </c>
      <c r="M308" s="12">
        <v>36</v>
      </c>
      <c r="N308" s="12">
        <v>24.9</v>
      </c>
      <c r="O308" s="12">
        <v>20.6</v>
      </c>
    </row>
    <row r="309" spans="1:15" x14ac:dyDescent="0.15">
      <c r="A309" s="9">
        <v>1.7</v>
      </c>
      <c r="B309" s="12">
        <v>655.9</v>
      </c>
      <c r="C309" s="12">
        <v>495.2</v>
      </c>
      <c r="D309" s="12">
        <v>393.9</v>
      </c>
      <c r="E309" s="12">
        <v>322.39999999999998</v>
      </c>
      <c r="F309" s="12">
        <v>227.1</v>
      </c>
      <c r="G309" s="12">
        <v>161.9</v>
      </c>
      <c r="H309" s="12">
        <v>127.6</v>
      </c>
      <c r="I309" s="12">
        <v>90.6</v>
      </c>
      <c r="J309" s="12">
        <v>72.099999999999994</v>
      </c>
      <c r="K309" s="12">
        <v>53.1</v>
      </c>
      <c r="L309" s="12">
        <v>43.3</v>
      </c>
      <c r="M309" s="12">
        <v>36.6</v>
      </c>
      <c r="N309" s="12">
        <v>25.1</v>
      </c>
      <c r="O309" s="12">
        <v>20.8</v>
      </c>
    </row>
    <row r="310" spans="1:15" x14ac:dyDescent="0.15">
      <c r="A310" s="31">
        <v>1.67</v>
      </c>
      <c r="B310" s="12">
        <v>680</v>
      </c>
      <c r="C310" s="12">
        <v>502.8</v>
      </c>
      <c r="D310" s="12">
        <v>400</v>
      </c>
      <c r="E310" s="12">
        <v>327.3</v>
      </c>
      <c r="F310" s="12">
        <v>232.6</v>
      </c>
      <c r="G310" s="12">
        <v>165</v>
      </c>
      <c r="H310" s="12">
        <v>129.80000000000001</v>
      </c>
      <c r="I310" s="12">
        <v>92.8</v>
      </c>
      <c r="J310" s="12">
        <v>73.400000000000006</v>
      </c>
      <c r="K310" s="12">
        <v>54.5</v>
      </c>
      <c r="L310" s="12">
        <v>44.1</v>
      </c>
      <c r="M310" s="12">
        <v>37</v>
      </c>
      <c r="N310" s="12">
        <v>25.4</v>
      </c>
      <c r="O310" s="12">
        <v>20.9</v>
      </c>
    </row>
    <row r="311" spans="1:15" x14ac:dyDescent="0.15">
      <c r="A311" s="31">
        <v>1.6</v>
      </c>
      <c r="B311" s="12">
        <v>689.7</v>
      </c>
      <c r="C311" s="12">
        <v>510.5</v>
      </c>
      <c r="D311" s="12">
        <v>408.3</v>
      </c>
      <c r="E311" s="12">
        <v>332.3</v>
      </c>
      <c r="F311" s="12">
        <v>236</v>
      </c>
      <c r="G311" s="12">
        <v>168.5</v>
      </c>
      <c r="H311" s="12">
        <v>131.5</v>
      </c>
      <c r="I311" s="12">
        <v>94.6</v>
      </c>
      <c r="J311" s="12">
        <v>74.7</v>
      </c>
      <c r="K311" s="12">
        <v>55</v>
      </c>
      <c r="L311" s="12">
        <v>44.6</v>
      </c>
      <c r="M311" s="12">
        <v>37.6</v>
      </c>
      <c r="N311" s="12">
        <v>25.6</v>
      </c>
      <c r="O311" s="12">
        <v>21.2</v>
      </c>
    </row>
    <row r="312" spans="1:15" s="35" customFormat="1" x14ac:dyDescent="0.15">
      <c r="A312" s="33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</row>
    <row r="313" spans="1:15" x14ac:dyDescent="0.15">
      <c r="A313" s="30" t="s">
        <v>213</v>
      </c>
      <c r="B313" s="30" t="s">
        <v>197</v>
      </c>
      <c r="C313" s="30" t="s">
        <v>156</v>
      </c>
      <c r="D313" s="30" t="s">
        <v>157</v>
      </c>
      <c r="E313" s="30" t="s">
        <v>158</v>
      </c>
      <c r="F313" s="30" t="s">
        <v>159</v>
      </c>
      <c r="G313" s="30" t="s">
        <v>160</v>
      </c>
      <c r="H313" s="30" t="s">
        <v>198</v>
      </c>
      <c r="I313" s="30" t="s">
        <v>199</v>
      </c>
      <c r="J313" s="30" t="s">
        <v>200</v>
      </c>
      <c r="K313" s="30" t="s">
        <v>201</v>
      </c>
      <c r="L313" s="30" t="s">
        <v>202</v>
      </c>
      <c r="M313" s="30" t="s">
        <v>203</v>
      </c>
      <c r="N313" s="30" t="s">
        <v>204</v>
      </c>
      <c r="O313" s="30" t="s">
        <v>205</v>
      </c>
    </row>
    <row r="314" spans="1:15" x14ac:dyDescent="0.15">
      <c r="A314" s="9">
        <v>1.85</v>
      </c>
      <c r="B314" s="12">
        <v>469.2</v>
      </c>
      <c r="C314" s="12">
        <v>377.4</v>
      </c>
      <c r="D314" s="12">
        <v>329.3</v>
      </c>
      <c r="E314" s="12">
        <v>260.10000000000002</v>
      </c>
      <c r="F314" s="12">
        <v>184.4</v>
      </c>
      <c r="G314" s="12">
        <v>143.6</v>
      </c>
      <c r="H314" s="12">
        <v>117.1</v>
      </c>
      <c r="I314" s="12">
        <v>86.2</v>
      </c>
      <c r="J314" s="12">
        <v>70.7</v>
      </c>
      <c r="K314" s="12">
        <v>52.9</v>
      </c>
      <c r="L314" s="12">
        <v>42</v>
      </c>
      <c r="M314" s="12">
        <v>35.700000000000003</v>
      </c>
      <c r="N314" s="12">
        <v>24.8</v>
      </c>
      <c r="O314" s="12">
        <v>21.3</v>
      </c>
    </row>
    <row r="315" spans="1:15" x14ac:dyDescent="0.15">
      <c r="A315" s="9">
        <v>1.8</v>
      </c>
      <c r="B315" s="12">
        <v>524.9</v>
      </c>
      <c r="C315" s="12">
        <v>422.1</v>
      </c>
      <c r="D315" s="12">
        <v>368.3</v>
      </c>
      <c r="E315" s="12">
        <v>291</v>
      </c>
      <c r="F315" s="12">
        <v>206.3</v>
      </c>
      <c r="G315" s="12">
        <v>151.5</v>
      </c>
      <c r="H315" s="12">
        <v>120.4</v>
      </c>
      <c r="I315" s="12">
        <v>88.3</v>
      </c>
      <c r="J315" s="12">
        <v>74.5</v>
      </c>
      <c r="K315" s="12">
        <v>54.4</v>
      </c>
      <c r="L315" s="12">
        <v>43.4</v>
      </c>
      <c r="M315" s="12">
        <v>36.9</v>
      </c>
      <c r="N315" s="12">
        <v>25.3</v>
      </c>
      <c r="O315" s="12">
        <v>21.8</v>
      </c>
    </row>
    <row r="316" spans="1:15" x14ac:dyDescent="0.15">
      <c r="A316" s="9">
        <v>1.75</v>
      </c>
      <c r="B316" s="12">
        <v>560.20000000000005</v>
      </c>
      <c r="C316" s="12">
        <v>450.5</v>
      </c>
      <c r="D316" s="12">
        <v>393.1</v>
      </c>
      <c r="E316" s="12">
        <v>310.60000000000002</v>
      </c>
      <c r="F316" s="12">
        <v>220.1</v>
      </c>
      <c r="G316" s="12">
        <v>159.69999999999999</v>
      </c>
      <c r="H316" s="12">
        <v>124.8</v>
      </c>
      <c r="I316" s="12">
        <v>91.5</v>
      </c>
      <c r="J316" s="12">
        <v>77.099999999999994</v>
      </c>
      <c r="K316" s="12">
        <v>55.4</v>
      </c>
      <c r="L316" s="12">
        <v>44.7</v>
      </c>
      <c r="M316" s="12">
        <v>37.9</v>
      </c>
      <c r="N316" s="12">
        <v>25.5</v>
      </c>
      <c r="O316" s="12">
        <v>21.9</v>
      </c>
    </row>
    <row r="317" spans="1:15" x14ac:dyDescent="0.15">
      <c r="A317" s="9">
        <v>1.7</v>
      </c>
      <c r="B317" s="12">
        <v>588.9</v>
      </c>
      <c r="C317" s="12">
        <v>473.6</v>
      </c>
      <c r="D317" s="12">
        <v>413.3</v>
      </c>
      <c r="E317" s="12">
        <v>326.5</v>
      </c>
      <c r="F317" s="12">
        <v>231.4</v>
      </c>
      <c r="G317" s="12">
        <v>166.4</v>
      </c>
      <c r="H317" s="12">
        <v>129.5</v>
      </c>
      <c r="I317" s="12">
        <v>94.9</v>
      </c>
      <c r="J317" s="12">
        <v>78.599999999999994</v>
      </c>
      <c r="K317" s="12">
        <v>56.4</v>
      </c>
      <c r="L317" s="12">
        <v>45.6</v>
      </c>
      <c r="M317" s="12">
        <v>38.6</v>
      </c>
      <c r="N317" s="12">
        <v>25.8</v>
      </c>
      <c r="O317" s="12">
        <v>22</v>
      </c>
    </row>
    <row r="318" spans="1:15" x14ac:dyDescent="0.15">
      <c r="A318" s="31">
        <v>1.67</v>
      </c>
      <c r="B318" s="12">
        <v>598.5</v>
      </c>
      <c r="C318" s="12">
        <v>481.3</v>
      </c>
      <c r="D318" s="12">
        <v>420</v>
      </c>
      <c r="E318" s="12">
        <v>331.8</v>
      </c>
      <c r="F318" s="12">
        <v>235.2</v>
      </c>
      <c r="G318" s="12">
        <v>170</v>
      </c>
      <c r="H318" s="12">
        <v>130.19999999999999</v>
      </c>
      <c r="I318" s="12">
        <v>96.9</v>
      </c>
      <c r="J318" s="12">
        <v>80.099999999999994</v>
      </c>
      <c r="K318" s="12">
        <v>57.4</v>
      </c>
      <c r="L318" s="12">
        <v>46</v>
      </c>
      <c r="M318" s="12">
        <v>39</v>
      </c>
      <c r="N318" s="12">
        <v>26.1</v>
      </c>
      <c r="O318" s="12">
        <v>22.4</v>
      </c>
    </row>
    <row r="319" spans="1:15" x14ac:dyDescent="0.15">
      <c r="A319" s="31">
        <v>1.6</v>
      </c>
      <c r="B319" s="12">
        <v>606.9</v>
      </c>
      <c r="C319" s="12">
        <v>488.1</v>
      </c>
      <c r="D319" s="12">
        <v>425.9</v>
      </c>
      <c r="E319" s="12">
        <v>336.4</v>
      </c>
      <c r="F319" s="12">
        <v>238.5</v>
      </c>
      <c r="G319" s="12">
        <v>172.6</v>
      </c>
      <c r="H319" s="12">
        <v>131.69999999999999</v>
      </c>
      <c r="I319" s="12">
        <v>99.5</v>
      </c>
      <c r="J319" s="12">
        <v>81.2</v>
      </c>
      <c r="K319" s="12">
        <v>58.6</v>
      </c>
      <c r="L319" s="12">
        <v>46.9</v>
      </c>
      <c r="M319" s="12">
        <v>39.6</v>
      </c>
      <c r="N319" s="12">
        <v>26.1</v>
      </c>
      <c r="O319" s="12">
        <v>22.4</v>
      </c>
    </row>
    <row r="320" spans="1:15" s="35" customFormat="1" x14ac:dyDescent="0.15">
      <c r="A320" s="33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</row>
    <row r="321" spans="1:14" x14ac:dyDescent="0.15">
      <c r="A321" s="30" t="s">
        <v>214</v>
      </c>
      <c r="B321" s="30" t="s">
        <v>197</v>
      </c>
      <c r="C321" s="30" t="s">
        <v>156</v>
      </c>
      <c r="D321" s="30" t="s">
        <v>157</v>
      </c>
      <c r="E321" s="30" t="s">
        <v>158</v>
      </c>
      <c r="F321" s="30" t="s">
        <v>159</v>
      </c>
      <c r="G321" s="30" t="s">
        <v>160</v>
      </c>
      <c r="H321" s="30" t="s">
        <v>198</v>
      </c>
      <c r="I321" s="30" t="s">
        <v>200</v>
      </c>
      <c r="J321" s="30" t="s">
        <v>201</v>
      </c>
      <c r="K321" s="30" t="s">
        <v>202</v>
      </c>
      <c r="L321" s="30" t="s">
        <v>203</v>
      </c>
      <c r="M321" s="30" t="s">
        <v>204</v>
      </c>
      <c r="N321" s="30" t="s">
        <v>205</v>
      </c>
    </row>
    <row r="322" spans="1:14" x14ac:dyDescent="0.15">
      <c r="A322" s="9">
        <v>1.85</v>
      </c>
      <c r="B322" s="12">
        <v>497.8</v>
      </c>
      <c r="C322" s="12">
        <v>424.6</v>
      </c>
      <c r="D322" s="12">
        <v>377.4</v>
      </c>
      <c r="E322" s="12">
        <v>329</v>
      </c>
      <c r="F322" s="12">
        <v>263.7</v>
      </c>
      <c r="G322" s="12">
        <v>203.4</v>
      </c>
      <c r="H322" s="12">
        <v>162.9</v>
      </c>
      <c r="I322" s="12">
        <v>96.6</v>
      </c>
      <c r="J322" s="12">
        <v>70.3</v>
      </c>
      <c r="K322" s="12">
        <v>56.2</v>
      </c>
      <c r="L322" s="12">
        <v>47.3</v>
      </c>
      <c r="M322" s="12">
        <v>32.700000000000003</v>
      </c>
      <c r="N322" s="12">
        <v>27.3</v>
      </c>
    </row>
    <row r="323" spans="1:14" x14ac:dyDescent="0.15">
      <c r="A323" s="9">
        <v>1.8</v>
      </c>
      <c r="B323" s="12">
        <v>583.6</v>
      </c>
      <c r="C323" s="12">
        <v>474.1</v>
      </c>
      <c r="D323" s="12">
        <v>415.6</v>
      </c>
      <c r="E323" s="12">
        <v>355.1</v>
      </c>
      <c r="F323" s="12">
        <v>280.89999999999998</v>
      </c>
      <c r="G323" s="12">
        <v>215</v>
      </c>
      <c r="H323" s="12">
        <v>171.7</v>
      </c>
      <c r="I323" s="12">
        <v>100.2</v>
      </c>
      <c r="J323" s="12">
        <v>72.900000000000006</v>
      </c>
      <c r="K323" s="12">
        <v>57.7</v>
      </c>
      <c r="L323" s="12">
        <v>48.3</v>
      </c>
      <c r="M323" s="12">
        <v>33.299999999999997</v>
      </c>
      <c r="N323" s="12">
        <v>27.7</v>
      </c>
    </row>
    <row r="324" spans="1:14" x14ac:dyDescent="0.15">
      <c r="A324" s="9">
        <v>1.75</v>
      </c>
      <c r="B324" s="12">
        <v>661.2</v>
      </c>
      <c r="C324" s="12">
        <v>532.20000000000005</v>
      </c>
      <c r="D324" s="12">
        <v>451.5</v>
      </c>
      <c r="E324" s="12">
        <v>377.7</v>
      </c>
      <c r="F324" s="12">
        <v>293.7</v>
      </c>
      <c r="G324" s="12">
        <v>224.2</v>
      </c>
      <c r="H324" s="12">
        <v>179.2</v>
      </c>
      <c r="I324" s="12">
        <v>103.3</v>
      </c>
      <c r="J324" s="12">
        <v>75</v>
      </c>
      <c r="K324" s="12">
        <v>59.3</v>
      </c>
      <c r="L324" s="12">
        <v>49.5</v>
      </c>
      <c r="M324" s="12">
        <v>33.9</v>
      </c>
      <c r="N324" s="12">
        <v>28</v>
      </c>
    </row>
    <row r="325" spans="1:14" x14ac:dyDescent="0.15">
      <c r="A325" s="9">
        <v>1.7</v>
      </c>
      <c r="B325" s="12">
        <v>722.4</v>
      </c>
      <c r="C325" s="12">
        <v>566.4</v>
      </c>
      <c r="D325" s="12">
        <v>476.7</v>
      </c>
      <c r="E325" s="12">
        <v>397.6</v>
      </c>
      <c r="F325" s="12">
        <v>306.2</v>
      </c>
      <c r="G325" s="12">
        <v>233</v>
      </c>
      <c r="H325" s="12">
        <v>185.4</v>
      </c>
      <c r="I325" s="12">
        <v>106.7</v>
      </c>
      <c r="J325" s="12">
        <v>76.5</v>
      </c>
      <c r="K325" s="12">
        <v>60.3</v>
      </c>
      <c r="L325" s="12">
        <v>50.4</v>
      </c>
      <c r="M325" s="12">
        <v>34.299999999999997</v>
      </c>
      <c r="N325" s="12">
        <v>28.3</v>
      </c>
    </row>
    <row r="326" spans="1:14" x14ac:dyDescent="0.15">
      <c r="A326" s="31">
        <v>1.67</v>
      </c>
      <c r="B326" s="12">
        <v>777.5</v>
      </c>
      <c r="C326" s="12">
        <v>602.9</v>
      </c>
      <c r="D326" s="12">
        <v>505.7</v>
      </c>
      <c r="E326" s="12">
        <v>416.4</v>
      </c>
      <c r="F326" s="12">
        <v>320.5</v>
      </c>
      <c r="G326" s="12">
        <v>242.5</v>
      </c>
      <c r="H326" s="12">
        <v>191.8</v>
      </c>
      <c r="I326" s="12">
        <v>109.9</v>
      </c>
      <c r="J326" s="12">
        <v>78.2</v>
      </c>
      <c r="K326" s="12">
        <v>61.7</v>
      </c>
      <c r="L326" s="12">
        <v>51.1</v>
      </c>
      <c r="M326" s="12">
        <v>34.6</v>
      </c>
      <c r="N326" s="12">
        <v>28.6</v>
      </c>
    </row>
    <row r="327" spans="1:14" x14ac:dyDescent="0.15">
      <c r="A327" s="31">
        <v>1.6</v>
      </c>
      <c r="B327" s="12">
        <v>829.6</v>
      </c>
      <c r="C327" s="12">
        <v>641.4</v>
      </c>
      <c r="D327" s="12">
        <v>527.20000000000005</v>
      </c>
      <c r="E327" s="12">
        <v>429.8</v>
      </c>
      <c r="F327" s="12">
        <v>329.2</v>
      </c>
      <c r="G327" s="12">
        <v>247</v>
      </c>
      <c r="H327" s="12">
        <v>195.1</v>
      </c>
      <c r="I327" s="12">
        <v>110.8</v>
      </c>
      <c r="J327" s="12">
        <v>78.8</v>
      </c>
      <c r="K327" s="12">
        <v>61.9</v>
      </c>
      <c r="L327" s="12">
        <v>51.5</v>
      </c>
      <c r="M327" s="12">
        <v>34.6</v>
      </c>
      <c r="N327" s="12">
        <v>28.5</v>
      </c>
    </row>
    <row r="328" spans="1:14" s="35" customFormat="1" x14ac:dyDescent="0.15">
      <c r="A328" s="33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</row>
    <row r="329" spans="1:14" x14ac:dyDescent="0.15">
      <c r="A329" s="30" t="s">
        <v>215</v>
      </c>
      <c r="B329" s="30" t="s">
        <v>197</v>
      </c>
      <c r="C329" s="30" t="s">
        <v>156</v>
      </c>
      <c r="D329" s="30" t="s">
        <v>157</v>
      </c>
      <c r="E329" s="30" t="s">
        <v>158</v>
      </c>
      <c r="F329" s="30" t="s">
        <v>159</v>
      </c>
      <c r="G329" s="30" t="s">
        <v>160</v>
      </c>
      <c r="H329" s="30" t="s">
        <v>198</v>
      </c>
      <c r="I329" s="30" t="s">
        <v>200</v>
      </c>
      <c r="J329" s="30" t="s">
        <v>201</v>
      </c>
      <c r="K329" s="30" t="s">
        <v>202</v>
      </c>
      <c r="L329" s="30" t="s">
        <v>203</v>
      </c>
      <c r="M329" s="30" t="s">
        <v>204</v>
      </c>
      <c r="N329" s="30" t="s">
        <v>205</v>
      </c>
    </row>
    <row r="330" spans="1:14" x14ac:dyDescent="0.15">
      <c r="A330" s="9">
        <v>1.85</v>
      </c>
      <c r="B330" s="12">
        <v>537.70000000000005</v>
      </c>
      <c r="C330" s="12">
        <v>441.9</v>
      </c>
      <c r="D330" s="12">
        <v>383.5</v>
      </c>
      <c r="E330" s="12">
        <v>339.5</v>
      </c>
      <c r="F330" s="12">
        <v>273</v>
      </c>
      <c r="G330" s="12">
        <v>209.1</v>
      </c>
      <c r="H330" s="12">
        <v>172.5</v>
      </c>
      <c r="I330" s="12">
        <v>102.8</v>
      </c>
      <c r="J330" s="12">
        <v>74.400000000000006</v>
      </c>
      <c r="K330" s="12">
        <v>59.5</v>
      </c>
      <c r="L330" s="12">
        <v>49.8</v>
      </c>
      <c r="M330" s="12">
        <v>34.9</v>
      </c>
      <c r="N330" s="12">
        <v>29.5</v>
      </c>
    </row>
    <row r="331" spans="1:14" x14ac:dyDescent="0.15">
      <c r="A331" s="9">
        <v>1.8</v>
      </c>
      <c r="B331" s="12">
        <v>615.4</v>
      </c>
      <c r="C331" s="12">
        <v>484.6</v>
      </c>
      <c r="D331" s="12">
        <v>418.6</v>
      </c>
      <c r="E331" s="12">
        <v>373.2</v>
      </c>
      <c r="F331" s="12">
        <v>295</v>
      </c>
      <c r="G331" s="12">
        <v>223.2</v>
      </c>
      <c r="H331" s="12">
        <v>181.3</v>
      </c>
      <c r="I331" s="12">
        <v>106.8</v>
      </c>
      <c r="J331" s="12">
        <v>77.099999999999994</v>
      </c>
      <c r="K331" s="12">
        <v>61.2</v>
      </c>
      <c r="L331" s="12">
        <v>51.1</v>
      </c>
      <c r="M331" s="12">
        <v>35.6</v>
      </c>
      <c r="N331" s="12">
        <v>30</v>
      </c>
    </row>
    <row r="332" spans="1:14" x14ac:dyDescent="0.15">
      <c r="A332" s="9">
        <v>1.75</v>
      </c>
      <c r="B332" s="12">
        <v>710.1</v>
      </c>
      <c r="C332" s="12">
        <v>534.9</v>
      </c>
      <c r="D332" s="12">
        <v>459.8</v>
      </c>
      <c r="E332" s="12">
        <v>400.9</v>
      </c>
      <c r="F332" s="12">
        <v>314.2</v>
      </c>
      <c r="G332" s="12">
        <v>235.1</v>
      </c>
      <c r="H332" s="12">
        <v>190.2</v>
      </c>
      <c r="I332" s="12">
        <v>110.7</v>
      </c>
      <c r="J332" s="12">
        <v>79.2</v>
      </c>
      <c r="K332" s="12">
        <v>62.5</v>
      </c>
      <c r="L332" s="12">
        <v>52</v>
      </c>
      <c r="M332" s="12">
        <v>36.1</v>
      </c>
      <c r="N332" s="12">
        <v>30.4</v>
      </c>
    </row>
    <row r="333" spans="1:14" x14ac:dyDescent="0.15">
      <c r="A333" s="9">
        <v>1.7</v>
      </c>
      <c r="B333" s="12">
        <v>785.4</v>
      </c>
      <c r="C333" s="12">
        <v>582.5</v>
      </c>
      <c r="D333" s="12">
        <v>500.2</v>
      </c>
      <c r="E333" s="12">
        <v>432.4</v>
      </c>
      <c r="F333" s="12">
        <v>334.1</v>
      </c>
      <c r="G333" s="12">
        <v>246.5</v>
      </c>
      <c r="H333" s="12">
        <v>197.9</v>
      </c>
      <c r="I333" s="12">
        <v>113.6</v>
      </c>
      <c r="J333" s="12">
        <v>80.8</v>
      </c>
      <c r="K333" s="12">
        <v>63.8</v>
      </c>
      <c r="L333" s="12">
        <v>53</v>
      </c>
      <c r="M333" s="12">
        <v>36.700000000000003</v>
      </c>
      <c r="N333" s="12">
        <v>30.9</v>
      </c>
    </row>
    <row r="334" spans="1:14" x14ac:dyDescent="0.15">
      <c r="A334" s="31">
        <v>1.67</v>
      </c>
      <c r="B334" s="12">
        <v>852</v>
      </c>
      <c r="C334" s="12">
        <v>635.1</v>
      </c>
      <c r="D334" s="12">
        <v>540.1</v>
      </c>
      <c r="E334" s="12">
        <v>456.6</v>
      </c>
      <c r="F334" s="12">
        <v>346.4</v>
      </c>
      <c r="G334" s="12">
        <v>255.5</v>
      </c>
      <c r="H334" s="12">
        <v>203.8</v>
      </c>
      <c r="I334" s="12">
        <v>116.8</v>
      </c>
      <c r="J334" s="12">
        <v>82.8</v>
      </c>
      <c r="K334" s="12">
        <v>65</v>
      </c>
      <c r="L334" s="12">
        <v>53.9</v>
      </c>
      <c r="M334" s="12">
        <v>37.200000000000003</v>
      </c>
      <c r="N334" s="12">
        <v>31.2</v>
      </c>
    </row>
    <row r="335" spans="1:14" x14ac:dyDescent="0.15">
      <c r="A335" s="31">
        <v>1.6</v>
      </c>
      <c r="B335" s="12">
        <v>898.8</v>
      </c>
      <c r="C335" s="12">
        <v>672.8</v>
      </c>
      <c r="D335" s="12">
        <v>559.70000000000005</v>
      </c>
      <c r="E335" s="12">
        <v>471.1</v>
      </c>
      <c r="F335" s="12">
        <v>356.4</v>
      </c>
      <c r="G335" s="12">
        <v>261.2</v>
      </c>
      <c r="H335" s="12">
        <v>207.5</v>
      </c>
      <c r="I335" s="12">
        <v>117.7</v>
      </c>
      <c r="J335" s="12">
        <v>82.9</v>
      </c>
      <c r="K335" s="12">
        <v>65.5</v>
      </c>
      <c r="L335" s="12">
        <v>54.3</v>
      </c>
      <c r="M335" s="12">
        <v>37.5</v>
      </c>
      <c r="N335" s="12">
        <v>31.3</v>
      </c>
    </row>
    <row r="336" spans="1:14" s="35" customFormat="1" x14ac:dyDescent="0.15">
      <c r="A336" s="33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</row>
    <row r="337" spans="1:15" x14ac:dyDescent="0.15">
      <c r="A337" s="30" t="s">
        <v>216</v>
      </c>
      <c r="B337" s="30" t="s">
        <v>197</v>
      </c>
      <c r="C337" s="30" t="s">
        <v>156</v>
      </c>
      <c r="D337" s="30" t="s">
        <v>157</v>
      </c>
      <c r="E337" s="30" t="s">
        <v>158</v>
      </c>
      <c r="F337" s="30" t="s">
        <v>159</v>
      </c>
      <c r="G337" s="30" t="s">
        <v>160</v>
      </c>
      <c r="H337" s="30" t="s">
        <v>198</v>
      </c>
      <c r="I337" s="30" t="s">
        <v>199</v>
      </c>
      <c r="J337" s="30" t="s">
        <v>200</v>
      </c>
      <c r="K337" s="30" t="s">
        <v>201</v>
      </c>
      <c r="L337" s="30" t="s">
        <v>202</v>
      </c>
      <c r="M337" s="30" t="s">
        <v>203</v>
      </c>
      <c r="N337" s="30" t="s">
        <v>204</v>
      </c>
      <c r="O337" s="30" t="s">
        <v>205</v>
      </c>
    </row>
    <row r="338" spans="1:15" x14ac:dyDescent="0.15">
      <c r="A338" s="9">
        <v>1.85</v>
      </c>
      <c r="B338" s="12">
        <v>675.9</v>
      </c>
      <c r="C338" s="12">
        <v>543.6</v>
      </c>
      <c r="D338" s="12">
        <v>474.3</v>
      </c>
      <c r="E338" s="12">
        <v>374.7</v>
      </c>
      <c r="F338" s="12">
        <v>265.60000000000002</v>
      </c>
      <c r="G338" s="12">
        <v>200.2</v>
      </c>
      <c r="H338" s="12">
        <v>181</v>
      </c>
      <c r="I338" s="12">
        <v>133.19999999999999</v>
      </c>
      <c r="J338" s="12">
        <v>109.3</v>
      </c>
      <c r="K338" s="12">
        <v>81.8</v>
      </c>
      <c r="L338" s="12">
        <v>64.900000000000006</v>
      </c>
      <c r="M338" s="12">
        <v>55.1</v>
      </c>
      <c r="N338" s="12">
        <v>38.4</v>
      </c>
      <c r="O338" s="12">
        <v>32.9</v>
      </c>
    </row>
    <row r="339" spans="1:15" x14ac:dyDescent="0.15">
      <c r="A339" s="9">
        <v>1.8</v>
      </c>
      <c r="B339" s="12">
        <v>756.1</v>
      </c>
      <c r="C339" s="12">
        <v>608.1</v>
      </c>
      <c r="D339" s="12">
        <v>530.6</v>
      </c>
      <c r="E339" s="12">
        <v>419.2</v>
      </c>
      <c r="F339" s="12">
        <v>297.10000000000002</v>
      </c>
      <c r="G339" s="12">
        <v>212.5</v>
      </c>
      <c r="H339" s="12">
        <v>186</v>
      </c>
      <c r="I339" s="12">
        <v>136.5</v>
      </c>
      <c r="J339" s="12">
        <v>115.2</v>
      </c>
      <c r="K339" s="12">
        <v>84.1</v>
      </c>
      <c r="L339" s="12">
        <v>67.099999999999994</v>
      </c>
      <c r="M339" s="12">
        <v>57.1</v>
      </c>
      <c r="N339" s="12">
        <v>39.1</v>
      </c>
      <c r="O339" s="12">
        <v>33.799999999999997</v>
      </c>
    </row>
    <row r="340" spans="1:15" x14ac:dyDescent="0.15">
      <c r="A340" s="9">
        <v>1.75</v>
      </c>
      <c r="B340" s="12">
        <v>806.9</v>
      </c>
      <c r="C340" s="12">
        <v>649</v>
      </c>
      <c r="D340" s="12">
        <v>566.29999999999995</v>
      </c>
      <c r="E340" s="12">
        <v>447.4</v>
      </c>
      <c r="F340" s="12">
        <v>317.10000000000002</v>
      </c>
      <c r="G340" s="12">
        <v>221</v>
      </c>
      <c r="H340" s="12">
        <v>192.8</v>
      </c>
      <c r="I340" s="12">
        <v>141.5</v>
      </c>
      <c r="J340" s="12">
        <v>119.1</v>
      </c>
      <c r="K340" s="12">
        <v>85.7</v>
      </c>
      <c r="L340" s="12">
        <v>69.099999999999994</v>
      </c>
      <c r="M340" s="12">
        <v>58.5</v>
      </c>
      <c r="N340" s="12">
        <v>39.299999999999997</v>
      </c>
      <c r="O340" s="12">
        <v>33.9</v>
      </c>
    </row>
    <row r="341" spans="1:15" x14ac:dyDescent="0.15">
      <c r="A341" s="9">
        <v>1.7</v>
      </c>
      <c r="B341" s="12">
        <v>848.3</v>
      </c>
      <c r="C341" s="12">
        <v>682.2</v>
      </c>
      <c r="D341" s="12">
        <v>595.29999999999995</v>
      </c>
      <c r="E341" s="12">
        <v>470.3</v>
      </c>
      <c r="F341" s="12">
        <v>333.4</v>
      </c>
      <c r="G341" s="12">
        <v>227.3</v>
      </c>
      <c r="H341" s="12">
        <v>200.2</v>
      </c>
      <c r="I341" s="12">
        <v>146.69999999999999</v>
      </c>
      <c r="J341" s="12">
        <v>121.4</v>
      </c>
      <c r="K341" s="12">
        <v>87.2</v>
      </c>
      <c r="L341" s="12">
        <v>70.400000000000006</v>
      </c>
      <c r="M341" s="12">
        <v>59.7</v>
      </c>
      <c r="N341" s="12">
        <v>39.9</v>
      </c>
      <c r="O341" s="12">
        <v>34.1</v>
      </c>
    </row>
    <row r="342" spans="1:15" x14ac:dyDescent="0.15">
      <c r="A342" s="31">
        <v>1.67</v>
      </c>
      <c r="B342" s="12">
        <v>862.1</v>
      </c>
      <c r="C342" s="12">
        <v>693.3</v>
      </c>
      <c r="D342" s="12">
        <v>605</v>
      </c>
      <c r="E342" s="12">
        <v>478</v>
      </c>
      <c r="F342" s="12">
        <v>338.8</v>
      </c>
      <c r="G342" s="12">
        <v>237.3</v>
      </c>
      <c r="H342" s="12">
        <v>201.2</v>
      </c>
      <c r="I342" s="12">
        <v>149.80000000000001</v>
      </c>
      <c r="J342" s="12">
        <v>123.8</v>
      </c>
      <c r="K342" s="12">
        <v>88.7</v>
      </c>
      <c r="L342" s="12">
        <v>71.099999999999994</v>
      </c>
      <c r="M342" s="12">
        <v>60.2</v>
      </c>
      <c r="N342" s="12">
        <v>40.299999999999997</v>
      </c>
      <c r="O342" s="12">
        <v>34.5</v>
      </c>
    </row>
    <row r="343" spans="1:15" x14ac:dyDescent="0.15">
      <c r="A343" s="31">
        <v>1.6</v>
      </c>
      <c r="B343" s="12">
        <v>874.2</v>
      </c>
      <c r="C343" s="12">
        <v>703</v>
      </c>
      <c r="D343" s="12">
        <v>613.5</v>
      </c>
      <c r="E343" s="12">
        <v>484.6</v>
      </c>
      <c r="F343" s="12">
        <v>343.5</v>
      </c>
      <c r="G343" s="12">
        <v>248.1</v>
      </c>
      <c r="H343" s="12">
        <v>203.5</v>
      </c>
      <c r="I343" s="12">
        <v>153.69999999999999</v>
      </c>
      <c r="J343" s="12">
        <v>125.4</v>
      </c>
      <c r="K343" s="12">
        <v>90.5</v>
      </c>
      <c r="L343" s="12">
        <v>72.400000000000006</v>
      </c>
      <c r="M343" s="12">
        <v>61.2</v>
      </c>
      <c r="N343" s="12">
        <v>40.4</v>
      </c>
      <c r="O343" s="12">
        <v>34.700000000000003</v>
      </c>
    </row>
    <row r="344" spans="1:15" s="35" customFormat="1" x14ac:dyDescent="0.15">
      <c r="A344" s="33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</row>
    <row r="345" spans="1:15" x14ac:dyDescent="0.15">
      <c r="A345" s="30" t="s">
        <v>217</v>
      </c>
      <c r="B345" s="30" t="s">
        <v>197</v>
      </c>
      <c r="C345" s="30" t="s">
        <v>156</v>
      </c>
      <c r="D345" s="30" t="s">
        <v>157</v>
      </c>
      <c r="E345" s="30" t="s">
        <v>158</v>
      </c>
      <c r="F345" s="30" t="s">
        <v>159</v>
      </c>
      <c r="G345" s="30" t="s">
        <v>160</v>
      </c>
      <c r="H345" s="30" t="s">
        <v>198</v>
      </c>
      <c r="I345" s="30" t="s">
        <v>199</v>
      </c>
      <c r="J345" s="30" t="s">
        <v>200</v>
      </c>
      <c r="K345" s="30" t="s">
        <v>201</v>
      </c>
      <c r="L345" s="30" t="s">
        <v>202</v>
      </c>
      <c r="M345" s="30" t="s">
        <v>203</v>
      </c>
      <c r="N345" s="30" t="s">
        <v>204</v>
      </c>
      <c r="O345" s="30" t="s">
        <v>205</v>
      </c>
    </row>
    <row r="346" spans="1:15" x14ac:dyDescent="0.15">
      <c r="A346" s="9">
        <v>1.85</v>
      </c>
      <c r="B346" s="12">
        <v>726.2</v>
      </c>
      <c r="C346" s="12">
        <v>584</v>
      </c>
      <c r="D346" s="12">
        <v>509.6</v>
      </c>
      <c r="E346" s="12">
        <v>402.6</v>
      </c>
      <c r="F346" s="12">
        <v>280.3</v>
      </c>
      <c r="G346" s="12">
        <v>222</v>
      </c>
      <c r="H346" s="12">
        <v>181</v>
      </c>
      <c r="I346" s="12">
        <v>133.19999999999999</v>
      </c>
      <c r="J346" s="12">
        <v>109.3</v>
      </c>
      <c r="K346" s="12">
        <v>81.8</v>
      </c>
      <c r="L346" s="12">
        <v>64.900000000000006</v>
      </c>
      <c r="M346" s="12">
        <v>55.1</v>
      </c>
      <c r="N346" s="12">
        <v>38.4</v>
      </c>
      <c r="O346" s="12">
        <v>32.9</v>
      </c>
    </row>
    <row r="347" spans="1:15" x14ac:dyDescent="0.15">
      <c r="A347" s="9">
        <v>1.8</v>
      </c>
      <c r="B347" s="12">
        <v>812.3</v>
      </c>
      <c r="C347" s="12">
        <v>653.29999999999995</v>
      </c>
      <c r="D347" s="12">
        <v>570.1</v>
      </c>
      <c r="E347" s="12">
        <v>450.3</v>
      </c>
      <c r="F347" s="12">
        <v>313.5</v>
      </c>
      <c r="G347" s="12">
        <v>234.2</v>
      </c>
      <c r="H347" s="12">
        <v>186</v>
      </c>
      <c r="I347" s="12">
        <v>136.5</v>
      </c>
      <c r="J347" s="12">
        <v>115.2</v>
      </c>
      <c r="K347" s="12">
        <v>84.1</v>
      </c>
      <c r="L347" s="12">
        <v>67.099999999999994</v>
      </c>
      <c r="M347" s="12">
        <v>57.1</v>
      </c>
      <c r="N347" s="12">
        <v>39.1</v>
      </c>
      <c r="O347" s="12">
        <v>33.799999999999997</v>
      </c>
    </row>
    <row r="348" spans="1:15" x14ac:dyDescent="0.15">
      <c r="A348" s="9">
        <v>1.75</v>
      </c>
      <c r="B348" s="12">
        <v>867.9</v>
      </c>
      <c r="C348" s="12">
        <v>698</v>
      </c>
      <c r="D348" s="12">
        <v>609.1</v>
      </c>
      <c r="E348" s="12">
        <v>481.1</v>
      </c>
      <c r="F348" s="12">
        <v>335</v>
      </c>
      <c r="G348" s="12">
        <v>246.8</v>
      </c>
      <c r="H348" s="12">
        <v>192.8</v>
      </c>
      <c r="I348" s="12">
        <v>141.5</v>
      </c>
      <c r="J348" s="12">
        <v>119.1</v>
      </c>
      <c r="K348" s="12">
        <v>85.7</v>
      </c>
      <c r="L348" s="12">
        <v>69.099999999999994</v>
      </c>
      <c r="M348" s="12">
        <v>58.5</v>
      </c>
      <c r="N348" s="12">
        <v>39.299999999999997</v>
      </c>
      <c r="O348" s="12">
        <v>33.9</v>
      </c>
    </row>
    <row r="349" spans="1:15" x14ac:dyDescent="0.15">
      <c r="A349" s="9">
        <v>1.7</v>
      </c>
      <c r="B349" s="12">
        <v>911.4</v>
      </c>
      <c r="C349" s="12">
        <v>733</v>
      </c>
      <c r="D349" s="12">
        <v>639.6</v>
      </c>
      <c r="E349" s="12">
        <v>505.3</v>
      </c>
      <c r="F349" s="12">
        <v>351.8</v>
      </c>
      <c r="G349" s="12">
        <v>258.89999999999998</v>
      </c>
      <c r="H349" s="12">
        <v>200.2</v>
      </c>
      <c r="I349" s="12">
        <v>146.69999999999999</v>
      </c>
      <c r="J349" s="12">
        <v>121.4</v>
      </c>
      <c r="K349" s="12">
        <v>87.2</v>
      </c>
      <c r="L349" s="12">
        <v>70.400000000000006</v>
      </c>
      <c r="M349" s="12">
        <v>59.7</v>
      </c>
      <c r="N349" s="12">
        <v>39.9</v>
      </c>
      <c r="O349" s="12">
        <v>34.1</v>
      </c>
    </row>
    <row r="350" spans="1:15" x14ac:dyDescent="0.15">
      <c r="A350" s="31">
        <v>1.67</v>
      </c>
      <c r="B350" s="12">
        <v>926.3</v>
      </c>
      <c r="C350" s="12">
        <v>744.9</v>
      </c>
      <c r="D350" s="12">
        <v>650</v>
      </c>
      <c r="E350" s="12">
        <v>513.5</v>
      </c>
      <c r="F350" s="12">
        <v>357.5</v>
      </c>
      <c r="G350" s="12">
        <v>263.2</v>
      </c>
      <c r="H350" s="12">
        <v>201.2</v>
      </c>
      <c r="I350" s="12">
        <v>149.80000000000001</v>
      </c>
      <c r="J350" s="12">
        <v>123.8</v>
      </c>
      <c r="K350" s="12">
        <v>88.7</v>
      </c>
      <c r="L350" s="12">
        <v>71.099999999999994</v>
      </c>
      <c r="M350" s="12">
        <v>60.2</v>
      </c>
      <c r="N350" s="12">
        <v>40.299999999999997</v>
      </c>
      <c r="O350" s="12">
        <v>34.5</v>
      </c>
    </row>
    <row r="351" spans="1:15" x14ac:dyDescent="0.15">
      <c r="A351" s="31">
        <v>1.6</v>
      </c>
      <c r="B351" s="12">
        <v>939.2</v>
      </c>
      <c r="C351" s="12">
        <v>755.3</v>
      </c>
      <c r="D351" s="12">
        <v>659.1</v>
      </c>
      <c r="E351" s="12">
        <v>520.70000000000005</v>
      </c>
      <c r="F351" s="12">
        <v>362.5</v>
      </c>
      <c r="G351" s="12">
        <v>267.60000000000002</v>
      </c>
      <c r="H351" s="12">
        <v>203.5</v>
      </c>
      <c r="I351" s="12">
        <v>153.69999999999999</v>
      </c>
      <c r="J351" s="12">
        <v>125.4</v>
      </c>
      <c r="K351" s="12">
        <v>90.5</v>
      </c>
      <c r="L351" s="12">
        <v>72.400000000000006</v>
      </c>
      <c r="M351" s="12">
        <v>61.2</v>
      </c>
      <c r="N351" s="12">
        <v>40.4</v>
      </c>
      <c r="O351" s="12">
        <v>34.700000000000003</v>
      </c>
    </row>
    <row r="352" spans="1:15" s="35" customFormat="1" x14ac:dyDescent="0.15">
      <c r="A352" s="33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</row>
    <row r="353" spans="1:15" x14ac:dyDescent="0.15">
      <c r="A353" s="30" t="s">
        <v>218</v>
      </c>
      <c r="B353" s="30" t="s">
        <v>197</v>
      </c>
      <c r="C353" s="30" t="s">
        <v>156</v>
      </c>
      <c r="D353" s="30" t="s">
        <v>157</v>
      </c>
      <c r="E353" s="30" t="s">
        <v>158</v>
      </c>
      <c r="F353" s="30" t="s">
        <v>159</v>
      </c>
      <c r="G353" s="30" t="s">
        <v>160</v>
      </c>
      <c r="H353" s="30" t="s">
        <v>198</v>
      </c>
      <c r="I353" s="30" t="s">
        <v>199</v>
      </c>
      <c r="J353" s="30" t="s">
        <v>200</v>
      </c>
      <c r="K353" s="30" t="s">
        <v>201</v>
      </c>
      <c r="L353" s="30" t="s">
        <v>202</v>
      </c>
      <c r="M353" s="30" t="s">
        <v>203</v>
      </c>
      <c r="N353" s="30" t="s">
        <v>204</v>
      </c>
      <c r="O353" s="30" t="s">
        <v>205</v>
      </c>
    </row>
    <row r="354" spans="1:15" x14ac:dyDescent="0.15">
      <c r="A354" s="9">
        <v>1.85</v>
      </c>
      <c r="B354" s="12">
        <v>782</v>
      </c>
      <c r="C354" s="12">
        <v>628.9</v>
      </c>
      <c r="D354" s="12">
        <v>548.79999999999995</v>
      </c>
      <c r="E354" s="12">
        <v>433.6</v>
      </c>
      <c r="F354" s="12">
        <v>301.8</v>
      </c>
      <c r="G354" s="12">
        <v>248.1</v>
      </c>
      <c r="H354" s="12">
        <v>202.3</v>
      </c>
      <c r="I354" s="12">
        <v>148.9</v>
      </c>
      <c r="J354" s="12">
        <v>122.2</v>
      </c>
      <c r="K354" s="12">
        <v>91.4</v>
      </c>
      <c r="L354" s="12">
        <v>72.5</v>
      </c>
      <c r="M354" s="12">
        <v>61.6</v>
      </c>
      <c r="N354" s="12">
        <v>42.9</v>
      </c>
      <c r="O354" s="12">
        <v>36.799999999999997</v>
      </c>
    </row>
    <row r="355" spans="1:15" x14ac:dyDescent="0.15">
      <c r="A355" s="9">
        <v>1.8</v>
      </c>
      <c r="B355" s="12">
        <v>874.8</v>
      </c>
      <c r="C355" s="12">
        <v>703.5</v>
      </c>
      <c r="D355" s="12">
        <v>613.9</v>
      </c>
      <c r="E355" s="12">
        <v>485</v>
      </c>
      <c r="F355" s="12">
        <v>337.6</v>
      </c>
      <c r="G355" s="12">
        <v>261.7</v>
      </c>
      <c r="H355" s="12">
        <v>207.9</v>
      </c>
      <c r="I355" s="12">
        <v>152.5</v>
      </c>
      <c r="J355" s="12">
        <v>128.69999999999999</v>
      </c>
      <c r="K355" s="12">
        <v>94</v>
      </c>
      <c r="L355" s="12">
        <v>75</v>
      </c>
      <c r="M355" s="12">
        <v>63.8</v>
      </c>
      <c r="N355" s="12">
        <v>43.7</v>
      </c>
      <c r="O355" s="12">
        <v>37.700000000000003</v>
      </c>
    </row>
    <row r="356" spans="1:15" x14ac:dyDescent="0.15">
      <c r="A356" s="9">
        <v>1.75</v>
      </c>
      <c r="B356" s="12">
        <v>933.7</v>
      </c>
      <c r="C356" s="12">
        <v>750.9</v>
      </c>
      <c r="D356" s="12">
        <v>655.20000000000005</v>
      </c>
      <c r="E356" s="12">
        <v>517.6</v>
      </c>
      <c r="F356" s="12">
        <v>360.4</v>
      </c>
      <c r="G356" s="12">
        <v>275.8</v>
      </c>
      <c r="H356" s="12">
        <v>215.5</v>
      </c>
      <c r="I356" s="12">
        <v>158.1</v>
      </c>
      <c r="J356" s="12">
        <v>133.1</v>
      </c>
      <c r="K356" s="12">
        <v>95.7</v>
      </c>
      <c r="L356" s="12">
        <v>77.2</v>
      </c>
      <c r="M356" s="12">
        <v>65.400000000000006</v>
      </c>
      <c r="N356" s="12">
        <v>44</v>
      </c>
      <c r="O356" s="12">
        <v>37.799999999999997</v>
      </c>
    </row>
    <row r="357" spans="1:15" x14ac:dyDescent="0.15">
      <c r="A357" s="9">
        <v>1.7</v>
      </c>
      <c r="B357" s="12">
        <v>981.5</v>
      </c>
      <c r="C357" s="12">
        <v>789.4</v>
      </c>
      <c r="D357" s="12">
        <v>688.8</v>
      </c>
      <c r="E357" s="12">
        <v>544.20000000000005</v>
      </c>
      <c r="F357" s="12">
        <v>378.8</v>
      </c>
      <c r="G357" s="12">
        <v>287.5</v>
      </c>
      <c r="H357" s="12">
        <v>223.7</v>
      </c>
      <c r="I357" s="12">
        <v>163.9</v>
      </c>
      <c r="J357" s="12">
        <v>135.69999999999999</v>
      </c>
      <c r="K357" s="12">
        <v>97.5</v>
      </c>
      <c r="L357" s="12">
        <v>78.7</v>
      </c>
      <c r="M357" s="12">
        <v>66.7</v>
      </c>
      <c r="N357" s="12">
        <v>44.6</v>
      </c>
      <c r="O357" s="12">
        <v>38.1</v>
      </c>
    </row>
    <row r="358" spans="1:15" x14ac:dyDescent="0.15">
      <c r="A358" s="31">
        <v>1.67</v>
      </c>
      <c r="B358" s="12">
        <v>997.5</v>
      </c>
      <c r="C358" s="12">
        <v>802.2</v>
      </c>
      <c r="D358" s="12">
        <v>705</v>
      </c>
      <c r="E358" s="12">
        <v>553</v>
      </c>
      <c r="F358" s="12">
        <v>385</v>
      </c>
      <c r="G358" s="12">
        <v>293.7</v>
      </c>
      <c r="H358" s="12">
        <v>224.9</v>
      </c>
      <c r="I358" s="12">
        <v>167.4</v>
      </c>
      <c r="J358" s="12">
        <v>138.4</v>
      </c>
      <c r="K358" s="12">
        <v>99.1</v>
      </c>
      <c r="L358" s="12">
        <v>79.5</v>
      </c>
      <c r="M358" s="12">
        <v>67.3</v>
      </c>
      <c r="N358" s="12">
        <v>45</v>
      </c>
      <c r="O358" s="12">
        <v>38.6</v>
      </c>
    </row>
    <row r="359" spans="1:15" x14ac:dyDescent="0.15">
      <c r="A359" s="31">
        <v>1.6</v>
      </c>
      <c r="B359" s="12">
        <v>1011.5</v>
      </c>
      <c r="C359" s="12">
        <v>813.4</v>
      </c>
      <c r="D359" s="12">
        <v>709.8</v>
      </c>
      <c r="E359" s="12">
        <v>560.70000000000005</v>
      </c>
      <c r="F359" s="12">
        <v>390.4</v>
      </c>
      <c r="G359" s="12">
        <v>298.10000000000002</v>
      </c>
      <c r="H359" s="12">
        <v>227.4</v>
      </c>
      <c r="I359" s="12">
        <v>171.8</v>
      </c>
      <c r="J359" s="12">
        <v>140.19999999999999</v>
      </c>
      <c r="K359" s="12">
        <v>101.2</v>
      </c>
      <c r="L359" s="12">
        <v>80.900000000000006</v>
      </c>
      <c r="M359" s="12">
        <v>68.400000000000006</v>
      </c>
      <c r="N359" s="12">
        <v>45.2</v>
      </c>
      <c r="O359" s="12">
        <v>38.700000000000003</v>
      </c>
    </row>
    <row r="360" spans="1:15" s="35" customFormat="1" x14ac:dyDescent="0.15">
      <c r="A360" s="33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</row>
    <row r="361" spans="1:15" x14ac:dyDescent="0.15">
      <c r="A361" s="30" t="s">
        <v>219</v>
      </c>
      <c r="B361" s="30" t="s">
        <v>197</v>
      </c>
      <c r="C361" s="30" t="s">
        <v>156</v>
      </c>
      <c r="D361" s="30" t="s">
        <v>157</v>
      </c>
      <c r="E361" s="30" t="s">
        <v>158</v>
      </c>
      <c r="F361" s="30" t="s">
        <v>159</v>
      </c>
      <c r="G361" s="30" t="s">
        <v>160</v>
      </c>
      <c r="H361" s="30" t="s">
        <v>198</v>
      </c>
      <c r="I361" s="30" t="s">
        <v>199</v>
      </c>
      <c r="J361" s="30" t="s">
        <v>200</v>
      </c>
      <c r="K361" s="30" t="s">
        <v>201</v>
      </c>
      <c r="L361" s="30" t="s">
        <v>202</v>
      </c>
      <c r="M361" s="30" t="s">
        <v>203</v>
      </c>
      <c r="N361" s="30" t="s">
        <v>204</v>
      </c>
      <c r="O361" s="30" t="s">
        <v>205</v>
      </c>
    </row>
    <row r="362" spans="1:15" x14ac:dyDescent="0.15">
      <c r="A362" s="9">
        <v>1.85</v>
      </c>
      <c r="B362" s="12">
        <v>837.9</v>
      </c>
      <c r="C362" s="12">
        <v>673.8</v>
      </c>
      <c r="D362" s="12">
        <v>588</v>
      </c>
      <c r="E362" s="12">
        <v>464.5</v>
      </c>
      <c r="F362" s="12">
        <v>323.39999999999998</v>
      </c>
      <c r="G362" s="12">
        <v>241.6</v>
      </c>
      <c r="H362" s="12">
        <v>196.9</v>
      </c>
      <c r="I362" s="12">
        <v>144.9</v>
      </c>
      <c r="J362" s="12">
        <v>119</v>
      </c>
      <c r="K362" s="12">
        <v>89</v>
      </c>
      <c r="L362" s="12">
        <v>70.599999999999994</v>
      </c>
      <c r="M362" s="12">
        <v>60</v>
      </c>
      <c r="N362" s="12">
        <v>41.8</v>
      </c>
      <c r="O362" s="12">
        <v>35.799999999999997</v>
      </c>
    </row>
    <row r="363" spans="1:15" x14ac:dyDescent="0.15">
      <c r="A363" s="9">
        <v>1.8</v>
      </c>
      <c r="B363" s="12">
        <v>937.3</v>
      </c>
      <c r="C363" s="12">
        <v>753.8</v>
      </c>
      <c r="D363" s="12">
        <v>657.8</v>
      </c>
      <c r="E363" s="12">
        <v>519.6</v>
      </c>
      <c r="F363" s="12">
        <v>361.8</v>
      </c>
      <c r="G363" s="12">
        <v>254.8</v>
      </c>
      <c r="H363" s="12">
        <v>202.4</v>
      </c>
      <c r="I363" s="12">
        <v>148.5</v>
      </c>
      <c r="J363" s="12">
        <v>125.3</v>
      </c>
      <c r="K363" s="12">
        <v>91.5</v>
      </c>
      <c r="L363" s="12">
        <v>73</v>
      </c>
      <c r="M363" s="12">
        <v>62.1</v>
      </c>
      <c r="N363" s="12">
        <v>42.5</v>
      </c>
      <c r="O363" s="12">
        <v>36.700000000000003</v>
      </c>
    </row>
    <row r="364" spans="1:15" x14ac:dyDescent="0.15">
      <c r="A364" s="9">
        <v>1.75</v>
      </c>
      <c r="B364" s="12">
        <v>983.3</v>
      </c>
      <c r="C364" s="12">
        <v>790.7</v>
      </c>
      <c r="D364" s="12">
        <v>690</v>
      </c>
      <c r="E364" s="12">
        <v>545.1</v>
      </c>
      <c r="F364" s="12">
        <v>379.5</v>
      </c>
      <c r="G364" s="12">
        <v>268.60000000000002</v>
      </c>
      <c r="H364" s="12">
        <v>209.9</v>
      </c>
      <c r="I364" s="12">
        <v>154</v>
      </c>
      <c r="J364" s="12">
        <v>129.6</v>
      </c>
      <c r="K364" s="12">
        <v>93.2</v>
      </c>
      <c r="L364" s="12">
        <v>75.2</v>
      </c>
      <c r="M364" s="12">
        <v>63.7</v>
      </c>
      <c r="N364" s="12">
        <v>42.8</v>
      </c>
      <c r="O364" s="12">
        <v>36.799999999999997</v>
      </c>
    </row>
    <row r="365" spans="1:15" x14ac:dyDescent="0.15">
      <c r="A365" s="9">
        <v>1.7</v>
      </c>
      <c r="B365" s="12">
        <v>1026</v>
      </c>
      <c r="C365" s="12">
        <v>825.1</v>
      </c>
      <c r="D365" s="12">
        <v>720</v>
      </c>
      <c r="E365" s="12">
        <v>568.79999999999995</v>
      </c>
      <c r="F365" s="12">
        <v>396</v>
      </c>
      <c r="G365" s="12">
        <v>279.89999999999998</v>
      </c>
      <c r="H365" s="12">
        <v>217.8</v>
      </c>
      <c r="I365" s="12">
        <v>159.6</v>
      </c>
      <c r="J365" s="12">
        <v>132.1</v>
      </c>
      <c r="K365" s="12">
        <v>94.9</v>
      </c>
      <c r="L365" s="12">
        <v>76.599999999999994</v>
      </c>
      <c r="M365" s="12">
        <v>64.900000000000006</v>
      </c>
      <c r="N365" s="12">
        <v>43.4</v>
      </c>
      <c r="O365" s="12">
        <v>37.1</v>
      </c>
    </row>
    <row r="366" spans="1:15" x14ac:dyDescent="0.15">
      <c r="A366" s="31">
        <v>1.67</v>
      </c>
      <c r="B366" s="12">
        <v>1068.8</v>
      </c>
      <c r="C366" s="12">
        <v>859.5</v>
      </c>
      <c r="D366" s="12">
        <v>750</v>
      </c>
      <c r="E366" s="12">
        <v>592.5</v>
      </c>
      <c r="F366" s="12">
        <v>412.5</v>
      </c>
      <c r="G366" s="12">
        <v>286</v>
      </c>
      <c r="H366" s="12">
        <v>219</v>
      </c>
      <c r="I366" s="12">
        <v>163</v>
      </c>
      <c r="J366" s="12">
        <v>134.69999999999999</v>
      </c>
      <c r="K366" s="12">
        <v>96.5</v>
      </c>
      <c r="L366" s="12">
        <v>77.400000000000006</v>
      </c>
      <c r="M366" s="12">
        <v>65.5</v>
      </c>
      <c r="N366" s="12">
        <v>43.8</v>
      </c>
      <c r="O366" s="12">
        <v>37.6</v>
      </c>
    </row>
    <row r="367" spans="1:15" x14ac:dyDescent="0.15">
      <c r="A367" s="31">
        <v>1.6</v>
      </c>
      <c r="B367" s="12">
        <v>1083.7</v>
      </c>
      <c r="C367" s="12">
        <v>871.5</v>
      </c>
      <c r="D367" s="12">
        <v>760.5</v>
      </c>
      <c r="E367" s="12">
        <v>600.79999999999995</v>
      </c>
      <c r="F367" s="12">
        <v>418.3</v>
      </c>
      <c r="G367" s="12">
        <v>290.3</v>
      </c>
      <c r="H367" s="12">
        <v>221.5</v>
      </c>
      <c r="I367" s="12">
        <v>167.3</v>
      </c>
      <c r="J367" s="12">
        <v>136.5</v>
      </c>
      <c r="K367" s="12">
        <v>98.5</v>
      </c>
      <c r="L367" s="12">
        <v>78.8</v>
      </c>
      <c r="M367" s="12">
        <v>66.599999999999994</v>
      </c>
      <c r="N367" s="12">
        <v>44</v>
      </c>
      <c r="O367" s="12">
        <v>37.700000000000003</v>
      </c>
    </row>
    <row r="368" spans="1:15" s="35" customFormat="1" x14ac:dyDescent="0.15">
      <c r="A368" s="33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</row>
    <row r="369" spans="1:15" x14ac:dyDescent="0.15">
      <c r="A369" s="30" t="s">
        <v>220</v>
      </c>
      <c r="B369" s="30" t="s">
        <v>197</v>
      </c>
      <c r="C369" s="30" t="s">
        <v>156</v>
      </c>
      <c r="D369" s="30" t="s">
        <v>157</v>
      </c>
      <c r="E369" s="30" t="s">
        <v>158</v>
      </c>
      <c r="F369" s="30" t="s">
        <v>159</v>
      </c>
      <c r="G369" s="30" t="s">
        <v>160</v>
      </c>
      <c r="H369" s="30" t="s">
        <v>198</v>
      </c>
      <c r="I369" s="30" t="s">
        <v>199</v>
      </c>
      <c r="J369" s="30" t="s">
        <v>200</v>
      </c>
      <c r="K369" s="30" t="s">
        <v>201</v>
      </c>
      <c r="L369" s="30" t="s">
        <v>202</v>
      </c>
      <c r="M369" s="30" t="s">
        <v>203</v>
      </c>
      <c r="N369" s="30" t="s">
        <v>204</v>
      </c>
      <c r="O369" s="30" t="s">
        <v>205</v>
      </c>
    </row>
    <row r="370" spans="1:15" x14ac:dyDescent="0.15">
      <c r="A370" s="9">
        <v>1.85</v>
      </c>
      <c r="B370" s="12">
        <v>893.8</v>
      </c>
      <c r="C370" s="12">
        <v>718.8</v>
      </c>
      <c r="D370" s="12">
        <v>627.20000000000005</v>
      </c>
      <c r="E370" s="12">
        <v>495.5</v>
      </c>
      <c r="F370" s="12">
        <v>345</v>
      </c>
      <c r="G370" s="12">
        <v>274.2</v>
      </c>
      <c r="H370" s="12">
        <v>223.6</v>
      </c>
      <c r="I370" s="12">
        <v>164.5</v>
      </c>
      <c r="J370" s="12">
        <v>135</v>
      </c>
      <c r="K370" s="12">
        <v>101</v>
      </c>
      <c r="L370" s="12">
        <v>80.2</v>
      </c>
      <c r="M370" s="12">
        <v>68.099999999999994</v>
      </c>
      <c r="N370" s="12">
        <v>47.4</v>
      </c>
      <c r="O370" s="12">
        <v>40.6</v>
      </c>
    </row>
    <row r="371" spans="1:15" x14ac:dyDescent="0.15">
      <c r="A371" s="9">
        <v>1.8</v>
      </c>
      <c r="B371" s="12">
        <v>999.8</v>
      </c>
      <c r="C371" s="12">
        <v>804</v>
      </c>
      <c r="D371" s="12">
        <v>701.6</v>
      </c>
      <c r="E371" s="12">
        <v>554.29999999999995</v>
      </c>
      <c r="F371" s="12">
        <v>385.9</v>
      </c>
      <c r="G371" s="12">
        <v>289.3</v>
      </c>
      <c r="H371" s="12">
        <v>229.8</v>
      </c>
      <c r="I371" s="12">
        <v>168.6</v>
      </c>
      <c r="J371" s="12">
        <v>142.19999999999999</v>
      </c>
      <c r="K371" s="12">
        <v>103.9</v>
      </c>
      <c r="L371" s="12">
        <v>82.8</v>
      </c>
      <c r="M371" s="12">
        <v>70.5</v>
      </c>
      <c r="N371" s="12">
        <v>48.3</v>
      </c>
      <c r="O371" s="12">
        <v>41.7</v>
      </c>
    </row>
    <row r="372" spans="1:15" x14ac:dyDescent="0.15">
      <c r="A372" s="9">
        <v>1.75</v>
      </c>
      <c r="B372" s="12">
        <v>1048.8</v>
      </c>
      <c r="C372" s="12">
        <v>843.5</v>
      </c>
      <c r="D372" s="12">
        <v>736</v>
      </c>
      <c r="E372" s="12">
        <v>581.4</v>
      </c>
      <c r="F372" s="12">
        <v>404.8</v>
      </c>
      <c r="G372" s="12">
        <v>304.89999999999998</v>
      </c>
      <c r="H372" s="12">
        <v>238.2</v>
      </c>
      <c r="I372" s="12">
        <v>174.8</v>
      </c>
      <c r="J372" s="12">
        <v>147.1</v>
      </c>
      <c r="K372" s="12">
        <v>105.8</v>
      </c>
      <c r="L372" s="12">
        <v>85.3</v>
      </c>
      <c r="M372" s="12">
        <v>72.3</v>
      </c>
      <c r="N372" s="12">
        <v>48.6</v>
      </c>
      <c r="O372" s="12">
        <v>41.8</v>
      </c>
    </row>
    <row r="373" spans="1:15" x14ac:dyDescent="0.15">
      <c r="A373" s="9">
        <v>1.7</v>
      </c>
      <c r="B373" s="12">
        <v>1094.4000000000001</v>
      </c>
      <c r="C373" s="12">
        <v>880.1</v>
      </c>
      <c r="D373" s="12">
        <v>768</v>
      </c>
      <c r="E373" s="12">
        <v>606.70000000000005</v>
      </c>
      <c r="F373" s="12">
        <v>422.4</v>
      </c>
      <c r="G373" s="12">
        <v>317.7</v>
      </c>
      <c r="H373" s="12">
        <v>247.3</v>
      </c>
      <c r="I373" s="12">
        <v>181.2</v>
      </c>
      <c r="J373" s="12">
        <v>150</v>
      </c>
      <c r="K373" s="12">
        <v>107.7</v>
      </c>
      <c r="L373" s="12">
        <v>87</v>
      </c>
      <c r="M373" s="12">
        <v>73.7</v>
      </c>
      <c r="N373" s="12">
        <v>49.3</v>
      </c>
      <c r="O373" s="12">
        <v>42.1</v>
      </c>
    </row>
    <row r="374" spans="1:15" x14ac:dyDescent="0.15">
      <c r="A374" s="31">
        <v>1.67</v>
      </c>
      <c r="B374" s="12">
        <v>1140</v>
      </c>
      <c r="C374" s="12">
        <v>916.8</v>
      </c>
      <c r="D374" s="12">
        <v>800</v>
      </c>
      <c r="E374" s="12">
        <v>632</v>
      </c>
      <c r="F374" s="12">
        <v>440</v>
      </c>
      <c r="G374" s="12">
        <v>324.60000000000002</v>
      </c>
      <c r="H374" s="12">
        <v>248.6</v>
      </c>
      <c r="I374" s="12">
        <v>185</v>
      </c>
      <c r="J374" s="12">
        <v>152.9</v>
      </c>
      <c r="K374" s="12">
        <v>109.6</v>
      </c>
      <c r="L374" s="12">
        <v>87.8</v>
      </c>
      <c r="M374" s="12">
        <v>74.400000000000006</v>
      </c>
      <c r="N374" s="12">
        <v>49.8</v>
      </c>
      <c r="O374" s="12">
        <v>42.7</v>
      </c>
    </row>
    <row r="375" spans="1:15" x14ac:dyDescent="0.15">
      <c r="A375" s="31">
        <v>1.6</v>
      </c>
      <c r="B375" s="12">
        <v>1156</v>
      </c>
      <c r="C375" s="12">
        <v>929.6</v>
      </c>
      <c r="D375" s="12">
        <v>811.2</v>
      </c>
      <c r="E375" s="12">
        <v>640.79999999999995</v>
      </c>
      <c r="F375" s="12">
        <v>446.2</v>
      </c>
      <c r="G375" s="12">
        <v>329.5</v>
      </c>
      <c r="H375" s="12">
        <v>251.4</v>
      </c>
      <c r="I375" s="12">
        <v>189.9</v>
      </c>
      <c r="J375" s="12">
        <v>155</v>
      </c>
      <c r="K375" s="12">
        <v>111.8</v>
      </c>
      <c r="L375" s="12">
        <v>89.5</v>
      </c>
      <c r="M375" s="12">
        <v>75.5</v>
      </c>
      <c r="N375" s="12">
        <v>49.9</v>
      </c>
      <c r="O375" s="12">
        <v>42.8</v>
      </c>
    </row>
    <row r="376" spans="1:15" s="35" customFormat="1" x14ac:dyDescent="0.15">
      <c r="A376" s="33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</row>
    <row r="377" spans="1:15" x14ac:dyDescent="0.15">
      <c r="A377" s="30" t="s">
        <v>221</v>
      </c>
      <c r="B377" s="30" t="s">
        <v>197</v>
      </c>
      <c r="C377" s="30" t="s">
        <v>156</v>
      </c>
      <c r="D377" s="30" t="s">
        <v>157</v>
      </c>
      <c r="E377" s="30" t="s">
        <v>158</v>
      </c>
      <c r="F377" s="30" t="s">
        <v>159</v>
      </c>
      <c r="G377" s="30" t="s">
        <v>160</v>
      </c>
      <c r="H377" s="30" t="s">
        <v>198</v>
      </c>
      <c r="I377" s="30" t="s">
        <v>199</v>
      </c>
      <c r="J377" s="30" t="s">
        <v>200</v>
      </c>
      <c r="K377" s="30" t="s">
        <v>201</v>
      </c>
      <c r="L377" s="30" t="s">
        <v>202</v>
      </c>
      <c r="M377" s="30" t="s">
        <v>203</v>
      </c>
      <c r="N377" s="30" t="s">
        <v>204</v>
      </c>
      <c r="O377" s="30" t="s">
        <v>205</v>
      </c>
    </row>
    <row r="378" spans="1:15" x14ac:dyDescent="0.15">
      <c r="A378" s="9">
        <v>1.85</v>
      </c>
      <c r="B378" s="12">
        <v>994.3</v>
      </c>
      <c r="C378" s="12">
        <v>799.6</v>
      </c>
      <c r="D378" s="12">
        <v>697.8</v>
      </c>
      <c r="E378" s="12">
        <v>551.20000000000005</v>
      </c>
      <c r="F378" s="12">
        <v>383.8</v>
      </c>
      <c r="G378" s="12">
        <v>306.89999999999998</v>
      </c>
      <c r="H378" s="12">
        <v>250.2</v>
      </c>
      <c r="I378" s="12">
        <v>184.1</v>
      </c>
      <c r="J378" s="12">
        <v>151.1</v>
      </c>
      <c r="K378" s="12">
        <v>113</v>
      </c>
      <c r="L378" s="12">
        <v>89.7</v>
      </c>
      <c r="M378" s="12">
        <v>76.2</v>
      </c>
      <c r="N378" s="12">
        <v>53.1</v>
      </c>
      <c r="O378" s="12">
        <v>45.5</v>
      </c>
    </row>
    <row r="379" spans="1:15" x14ac:dyDescent="0.15">
      <c r="A379" s="9">
        <v>1.8</v>
      </c>
      <c r="B379" s="12">
        <v>1112.3</v>
      </c>
      <c r="C379" s="12">
        <v>894.5</v>
      </c>
      <c r="D379" s="12">
        <v>780.5</v>
      </c>
      <c r="E379" s="12">
        <v>616.6</v>
      </c>
      <c r="F379" s="12">
        <v>429.3</v>
      </c>
      <c r="G379" s="12">
        <v>323.7</v>
      </c>
      <c r="H379" s="12">
        <v>257.2</v>
      </c>
      <c r="I379" s="12">
        <v>188.7</v>
      </c>
      <c r="J379" s="12">
        <v>159.19999999999999</v>
      </c>
      <c r="K379" s="12">
        <v>116.2</v>
      </c>
      <c r="L379" s="12">
        <v>92.7</v>
      </c>
      <c r="M379" s="12">
        <v>78.900000000000006</v>
      </c>
      <c r="N379" s="12">
        <v>54</v>
      </c>
      <c r="O379" s="12">
        <v>46.7</v>
      </c>
    </row>
    <row r="380" spans="1:15" x14ac:dyDescent="0.15">
      <c r="A380" s="9">
        <v>1.75</v>
      </c>
      <c r="B380" s="12">
        <v>1187.0999999999999</v>
      </c>
      <c r="C380" s="12">
        <v>954.7</v>
      </c>
      <c r="D380" s="12">
        <v>833</v>
      </c>
      <c r="E380" s="12">
        <v>658.1</v>
      </c>
      <c r="F380" s="12">
        <v>458.2</v>
      </c>
      <c r="G380" s="12">
        <v>341.2</v>
      </c>
      <c r="H380" s="12">
        <v>266.60000000000002</v>
      </c>
      <c r="I380" s="12">
        <v>195.6</v>
      </c>
      <c r="J380" s="12">
        <v>164.6</v>
      </c>
      <c r="K380" s="12">
        <v>118.4</v>
      </c>
      <c r="L380" s="12">
        <v>95.5</v>
      </c>
      <c r="M380" s="12">
        <v>80.900000000000006</v>
      </c>
      <c r="N380" s="12">
        <v>54.4</v>
      </c>
      <c r="O380" s="12">
        <v>46.8</v>
      </c>
    </row>
    <row r="381" spans="1:15" x14ac:dyDescent="0.15">
      <c r="A381" s="9">
        <v>1.7</v>
      </c>
      <c r="B381" s="12">
        <v>1248</v>
      </c>
      <c r="C381" s="12">
        <v>1003.6</v>
      </c>
      <c r="D381" s="12">
        <v>875.8</v>
      </c>
      <c r="E381" s="12">
        <v>691.9</v>
      </c>
      <c r="F381" s="12">
        <v>481.7</v>
      </c>
      <c r="G381" s="12">
        <v>355.6</v>
      </c>
      <c r="H381" s="12">
        <v>276.7</v>
      </c>
      <c r="I381" s="12">
        <v>202.7</v>
      </c>
      <c r="J381" s="12">
        <v>167.8</v>
      </c>
      <c r="K381" s="12">
        <v>120.6</v>
      </c>
      <c r="L381" s="12">
        <v>97.4</v>
      </c>
      <c r="M381" s="12">
        <v>82.5</v>
      </c>
      <c r="N381" s="12">
        <v>55.2</v>
      </c>
      <c r="O381" s="66">
        <v>47.1</v>
      </c>
    </row>
    <row r="382" spans="1:15" x14ac:dyDescent="0.15">
      <c r="A382" s="31">
        <v>1.67</v>
      </c>
      <c r="B382" s="12">
        <v>1268.3</v>
      </c>
      <c r="C382" s="12">
        <v>1019.9</v>
      </c>
      <c r="D382" s="12">
        <v>890</v>
      </c>
      <c r="E382" s="12">
        <v>703.1</v>
      </c>
      <c r="F382" s="12">
        <v>489.5</v>
      </c>
      <c r="G382" s="12">
        <v>363.2</v>
      </c>
      <c r="H382" s="12">
        <v>278.2</v>
      </c>
      <c r="I382" s="12">
        <v>207</v>
      </c>
      <c r="J382" s="12">
        <v>171.1</v>
      </c>
      <c r="K382" s="12">
        <v>122.6</v>
      </c>
      <c r="L382" s="12">
        <v>98.3</v>
      </c>
      <c r="M382" s="12">
        <v>83.3</v>
      </c>
      <c r="N382" s="12">
        <v>55.7</v>
      </c>
      <c r="O382" s="12">
        <v>47.7</v>
      </c>
    </row>
    <row r="383" spans="1:15" x14ac:dyDescent="0.15">
      <c r="A383" s="31">
        <v>1.6</v>
      </c>
      <c r="B383" s="12">
        <v>1286</v>
      </c>
      <c r="C383" s="12">
        <v>1034.2</v>
      </c>
      <c r="D383" s="12">
        <v>902.5</v>
      </c>
      <c r="E383" s="12">
        <v>712.9</v>
      </c>
      <c r="F383" s="12">
        <v>496.4</v>
      </c>
      <c r="G383" s="12">
        <v>368.7</v>
      </c>
      <c r="H383" s="12">
        <v>281.3</v>
      </c>
      <c r="I383" s="12">
        <v>212.5</v>
      </c>
      <c r="J383" s="12">
        <v>173.4</v>
      </c>
      <c r="K383" s="12">
        <v>125.1</v>
      </c>
      <c r="L383" s="12">
        <v>100.1</v>
      </c>
      <c r="M383" s="12">
        <v>84.5</v>
      </c>
      <c r="N383" s="12">
        <v>55.9</v>
      </c>
      <c r="O383" s="12">
        <v>47.9</v>
      </c>
    </row>
    <row r="384" spans="1:15" s="35" customFormat="1" x14ac:dyDescent="0.15">
      <c r="A384" s="33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</row>
    <row r="385" spans="1:16" x14ac:dyDescent="0.15">
      <c r="A385" s="30" t="s">
        <v>222</v>
      </c>
      <c r="B385" s="30" t="s">
        <v>197</v>
      </c>
      <c r="C385" s="30" t="s">
        <v>156</v>
      </c>
      <c r="D385" s="30" t="s">
        <v>157</v>
      </c>
      <c r="E385" s="30" t="s">
        <v>158</v>
      </c>
      <c r="F385" s="30" t="s">
        <v>223</v>
      </c>
      <c r="G385" s="30" t="s">
        <v>159</v>
      </c>
      <c r="H385" s="30" t="s">
        <v>160</v>
      </c>
      <c r="I385" s="30" t="s">
        <v>198</v>
      </c>
      <c r="J385" s="30" t="s">
        <v>199</v>
      </c>
      <c r="K385" s="30" t="s">
        <v>200</v>
      </c>
      <c r="L385" s="30" t="s">
        <v>201</v>
      </c>
      <c r="M385" s="30" t="s">
        <v>202</v>
      </c>
      <c r="N385" s="30" t="s">
        <v>203</v>
      </c>
      <c r="O385" s="30" t="s">
        <v>204</v>
      </c>
      <c r="P385" s="30" t="s">
        <v>205</v>
      </c>
    </row>
    <row r="386" spans="1:16" x14ac:dyDescent="0.15">
      <c r="A386" s="9">
        <v>1.6</v>
      </c>
      <c r="B386" s="12">
        <v>315</v>
      </c>
      <c r="C386" s="12">
        <v>237</v>
      </c>
      <c r="D386" s="12">
        <v>183</v>
      </c>
      <c r="E386" s="12">
        <v>141</v>
      </c>
      <c r="F386" s="12">
        <v>118</v>
      </c>
      <c r="G386" s="12">
        <v>103</v>
      </c>
      <c r="H386" s="12">
        <v>72.3</v>
      </c>
      <c r="I386" s="12">
        <v>62.2</v>
      </c>
      <c r="J386" s="12">
        <v>45.7</v>
      </c>
      <c r="K386" s="12">
        <v>35.299999999999997</v>
      </c>
      <c r="L386" s="12">
        <v>26</v>
      </c>
      <c r="M386" s="12">
        <v>20.9</v>
      </c>
      <c r="N386" s="12">
        <v>17.100000000000001</v>
      </c>
      <c r="O386" s="12">
        <v>14.6</v>
      </c>
      <c r="P386" s="12">
        <v>9.6300000000000008</v>
      </c>
    </row>
    <row r="387" spans="1:16" x14ac:dyDescent="0.15">
      <c r="A387" s="9">
        <v>1.65</v>
      </c>
      <c r="B387" s="12">
        <v>302</v>
      </c>
      <c r="C387" s="12">
        <v>229</v>
      </c>
      <c r="D387" s="12">
        <v>176</v>
      </c>
      <c r="E387" s="12">
        <v>136</v>
      </c>
      <c r="F387" s="12">
        <v>113</v>
      </c>
      <c r="G387" s="12">
        <v>100</v>
      </c>
      <c r="H387" s="12">
        <v>70.099999999999994</v>
      </c>
      <c r="I387" s="12">
        <v>60.3</v>
      </c>
      <c r="J387" s="12">
        <v>44.3</v>
      </c>
      <c r="K387" s="12">
        <v>34.1</v>
      </c>
      <c r="L387" s="12">
        <v>25.4</v>
      </c>
      <c r="M387" s="12">
        <v>20.399999999999999</v>
      </c>
      <c r="N387" s="12">
        <v>16.7</v>
      </c>
      <c r="O387" s="12">
        <v>14.3</v>
      </c>
      <c r="P387" s="12">
        <v>9.44</v>
      </c>
    </row>
    <row r="388" spans="1:16" x14ac:dyDescent="0.15">
      <c r="A388" s="9">
        <v>1.67</v>
      </c>
      <c r="B388" s="12">
        <v>298</v>
      </c>
      <c r="C388" s="12">
        <v>223</v>
      </c>
      <c r="D388" s="12">
        <v>175</v>
      </c>
      <c r="E388" s="12">
        <v>134</v>
      </c>
      <c r="F388" s="12">
        <v>111</v>
      </c>
      <c r="G388" s="12">
        <v>98.2</v>
      </c>
      <c r="H388" s="12">
        <v>69.099999999999994</v>
      </c>
      <c r="I388" s="12">
        <v>59.4</v>
      </c>
      <c r="J388" s="12">
        <v>43.7</v>
      </c>
      <c r="K388" s="12">
        <v>33.700000000000003</v>
      </c>
      <c r="L388" s="12">
        <v>25.1</v>
      </c>
      <c r="M388" s="12">
        <v>20.3</v>
      </c>
      <c r="N388" s="12">
        <v>16.600000000000001</v>
      </c>
      <c r="O388" s="12">
        <v>14.2</v>
      </c>
      <c r="P388" s="12">
        <v>9.36</v>
      </c>
    </row>
    <row r="389" spans="1:16" x14ac:dyDescent="0.15">
      <c r="A389" s="9">
        <v>1.7</v>
      </c>
      <c r="B389" s="12">
        <v>292</v>
      </c>
      <c r="C389" s="12">
        <v>217</v>
      </c>
      <c r="D389" s="12">
        <v>170</v>
      </c>
      <c r="E389" s="12">
        <v>132</v>
      </c>
      <c r="F389" s="12">
        <v>110</v>
      </c>
      <c r="G389" s="12">
        <v>96.5</v>
      </c>
      <c r="H389" s="12">
        <v>68</v>
      </c>
      <c r="I389" s="12">
        <v>58.5</v>
      </c>
      <c r="J389" s="12">
        <v>43</v>
      </c>
      <c r="K389" s="12">
        <v>33.1</v>
      </c>
      <c r="L389" s="12">
        <v>24.7</v>
      </c>
      <c r="M389" s="12">
        <v>20</v>
      </c>
      <c r="N389" s="12">
        <v>16.5</v>
      </c>
      <c r="O389" s="12">
        <v>14.1</v>
      </c>
      <c r="P389" s="12">
        <v>9.25</v>
      </c>
    </row>
    <row r="390" spans="1:16" x14ac:dyDescent="0.15">
      <c r="A390" s="9">
        <v>1.75</v>
      </c>
      <c r="B390" s="12">
        <v>280</v>
      </c>
      <c r="C390" s="12">
        <v>211</v>
      </c>
      <c r="D390" s="12">
        <v>165</v>
      </c>
      <c r="E390" s="12">
        <v>127</v>
      </c>
      <c r="F390" s="12">
        <v>106</v>
      </c>
      <c r="G390" s="12">
        <v>93.1</v>
      </c>
      <c r="H390" s="12">
        <v>66</v>
      </c>
      <c r="I390" s="12">
        <v>56.8</v>
      </c>
      <c r="J390" s="12">
        <v>41.7</v>
      </c>
      <c r="K390" s="12">
        <v>32.1</v>
      </c>
      <c r="L390" s="12">
        <v>24</v>
      </c>
      <c r="M390" s="12">
        <v>19.5</v>
      </c>
      <c r="N390" s="12">
        <v>16</v>
      </c>
      <c r="O390" s="12">
        <v>13.7</v>
      </c>
      <c r="P390" s="12">
        <v>9.06</v>
      </c>
    </row>
    <row r="391" spans="1:16" x14ac:dyDescent="0.15">
      <c r="A391" s="9">
        <v>1.8</v>
      </c>
      <c r="B391" s="12">
        <v>269</v>
      </c>
      <c r="C391" s="12">
        <v>203</v>
      </c>
      <c r="D391" s="12">
        <v>158</v>
      </c>
      <c r="E391" s="12">
        <v>123</v>
      </c>
      <c r="F391" s="12">
        <v>102</v>
      </c>
      <c r="G391" s="12">
        <v>89.8</v>
      </c>
      <c r="H391" s="12">
        <v>63.7</v>
      </c>
      <c r="I391" s="12">
        <v>55.1</v>
      </c>
      <c r="J391" s="12">
        <v>40.4</v>
      </c>
      <c r="K391" s="12">
        <v>31.1</v>
      </c>
      <c r="L391" s="12">
        <v>23.4</v>
      </c>
      <c r="M391" s="12">
        <v>19</v>
      </c>
      <c r="N391" s="12">
        <v>15.6</v>
      </c>
      <c r="O391" s="12">
        <v>13.4</v>
      </c>
      <c r="P391" s="12">
        <v>8.86</v>
      </c>
    </row>
    <row r="392" spans="1:16" s="35" customFormat="1" x14ac:dyDescent="0.15">
      <c r="A392" s="33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</row>
    <row r="393" spans="1:16" x14ac:dyDescent="0.15">
      <c r="A393" s="30" t="s">
        <v>224</v>
      </c>
      <c r="B393" s="30" t="s">
        <v>197</v>
      </c>
      <c r="C393" s="30" t="s">
        <v>156</v>
      </c>
      <c r="D393" s="30" t="s">
        <v>157</v>
      </c>
      <c r="E393" s="30" t="s">
        <v>158</v>
      </c>
      <c r="F393" s="30" t="s">
        <v>223</v>
      </c>
      <c r="G393" s="30" t="s">
        <v>159</v>
      </c>
      <c r="H393" s="30" t="s">
        <v>160</v>
      </c>
      <c r="I393" s="30" t="s">
        <v>198</v>
      </c>
      <c r="J393" s="30" t="s">
        <v>199</v>
      </c>
      <c r="K393" s="30" t="s">
        <v>200</v>
      </c>
      <c r="L393" s="30" t="s">
        <v>201</v>
      </c>
      <c r="M393" s="30" t="s">
        <v>202</v>
      </c>
      <c r="N393" s="30" t="s">
        <v>203</v>
      </c>
      <c r="O393" s="30" t="s">
        <v>204</v>
      </c>
      <c r="P393" s="30" t="s">
        <v>205</v>
      </c>
    </row>
    <row r="394" spans="1:16" x14ac:dyDescent="0.15">
      <c r="A394" s="9">
        <v>1.6</v>
      </c>
      <c r="B394" s="12">
        <v>385</v>
      </c>
      <c r="C394" s="12">
        <v>289</v>
      </c>
      <c r="D394" s="12">
        <v>226</v>
      </c>
      <c r="E394" s="12">
        <v>179</v>
      </c>
      <c r="F394" s="12">
        <v>147</v>
      </c>
      <c r="G394" s="12">
        <v>132</v>
      </c>
      <c r="H394" s="12">
        <v>96.8</v>
      </c>
      <c r="I394" s="12">
        <v>78.400000000000006</v>
      </c>
      <c r="J394" s="12">
        <v>61.3</v>
      </c>
      <c r="K394" s="12">
        <v>46.6</v>
      </c>
      <c r="L394" s="12">
        <v>33.799999999999997</v>
      </c>
      <c r="M394" s="12">
        <v>26.5</v>
      </c>
      <c r="N394" s="12">
        <v>21.8</v>
      </c>
      <c r="O394" s="12">
        <v>18.899999999999999</v>
      </c>
      <c r="P394" s="12">
        <v>12.4</v>
      </c>
    </row>
    <row r="395" spans="1:16" x14ac:dyDescent="0.15">
      <c r="A395" s="9">
        <v>1.65</v>
      </c>
      <c r="B395" s="12">
        <v>370</v>
      </c>
      <c r="C395" s="12">
        <v>282</v>
      </c>
      <c r="D395" s="12">
        <v>219</v>
      </c>
      <c r="E395" s="12">
        <v>173</v>
      </c>
      <c r="F395" s="12">
        <v>142</v>
      </c>
      <c r="G395" s="12">
        <v>128</v>
      </c>
      <c r="H395" s="12">
        <v>93.4</v>
      </c>
      <c r="I395" s="12">
        <v>76.2</v>
      </c>
      <c r="J395" s="12">
        <v>59.6</v>
      </c>
      <c r="K395" s="12">
        <v>45.2</v>
      </c>
      <c r="L395" s="12">
        <v>33.1</v>
      </c>
      <c r="M395" s="12">
        <v>26</v>
      </c>
      <c r="N395" s="12">
        <v>21.3</v>
      </c>
      <c r="O395" s="12">
        <v>18.399999999999999</v>
      </c>
      <c r="P395" s="12">
        <v>12.1</v>
      </c>
    </row>
    <row r="396" spans="1:16" x14ac:dyDescent="0.15">
      <c r="A396" s="9">
        <v>1.67</v>
      </c>
      <c r="B396" s="12">
        <v>362</v>
      </c>
      <c r="C396" s="12">
        <v>275</v>
      </c>
      <c r="D396" s="12">
        <v>215</v>
      </c>
      <c r="E396" s="12">
        <v>170</v>
      </c>
      <c r="F396" s="12">
        <v>139</v>
      </c>
      <c r="G396" s="12">
        <v>126</v>
      </c>
      <c r="H396" s="12">
        <v>92.1</v>
      </c>
      <c r="I396" s="12">
        <v>75.2</v>
      </c>
      <c r="J396" s="12">
        <v>59</v>
      </c>
      <c r="K396" s="12">
        <v>44.6</v>
      </c>
      <c r="L396" s="12">
        <v>32.4</v>
      </c>
      <c r="M396" s="12">
        <v>25.7</v>
      </c>
      <c r="N396" s="12">
        <v>21.1</v>
      </c>
      <c r="O396" s="12">
        <v>18.3</v>
      </c>
      <c r="P396" s="12">
        <v>12.1</v>
      </c>
    </row>
    <row r="397" spans="1:16" x14ac:dyDescent="0.15">
      <c r="A397" s="9">
        <v>1.7</v>
      </c>
      <c r="B397" s="12">
        <v>355</v>
      </c>
      <c r="C397" s="12">
        <v>262</v>
      </c>
      <c r="D397" s="12">
        <v>209</v>
      </c>
      <c r="E397" s="12">
        <v>166</v>
      </c>
      <c r="F397" s="12">
        <v>136</v>
      </c>
      <c r="G397" s="12">
        <v>124</v>
      </c>
      <c r="H397" s="12">
        <v>90.9</v>
      </c>
      <c r="I397" s="12">
        <v>74.099999999999994</v>
      </c>
      <c r="J397" s="12">
        <v>57.9</v>
      </c>
      <c r="K397" s="12">
        <v>43.8</v>
      </c>
      <c r="L397" s="12">
        <v>31.5</v>
      </c>
      <c r="M397" s="12">
        <v>25.4</v>
      </c>
      <c r="N397" s="12">
        <v>20.7</v>
      </c>
      <c r="O397" s="12">
        <v>18.100000000000001</v>
      </c>
      <c r="P397" s="12">
        <v>11.9</v>
      </c>
    </row>
    <row r="398" spans="1:16" x14ac:dyDescent="0.15">
      <c r="A398" s="9">
        <v>1.75</v>
      </c>
      <c r="B398" s="12">
        <v>337</v>
      </c>
      <c r="C398" s="12">
        <v>250</v>
      </c>
      <c r="D398" s="12">
        <v>202</v>
      </c>
      <c r="E398" s="12">
        <v>160</v>
      </c>
      <c r="F398" s="12">
        <v>132</v>
      </c>
      <c r="G398" s="12">
        <v>120</v>
      </c>
      <c r="H398" s="12">
        <v>87.9</v>
      </c>
      <c r="I398" s="12">
        <v>72</v>
      </c>
      <c r="J398" s="12">
        <v>55.9</v>
      </c>
      <c r="K398" s="12">
        <v>42.5</v>
      </c>
      <c r="L398" s="12">
        <v>30.8</v>
      </c>
      <c r="M398" s="12">
        <v>24.8</v>
      </c>
      <c r="N398" s="12">
        <v>20.2</v>
      </c>
      <c r="O398" s="12">
        <v>17.7</v>
      </c>
      <c r="P398" s="12">
        <v>11.6</v>
      </c>
    </row>
    <row r="399" spans="1:16" x14ac:dyDescent="0.15">
      <c r="A399" s="9">
        <v>1.8</v>
      </c>
      <c r="B399" s="12">
        <v>320</v>
      </c>
      <c r="C399" s="12">
        <v>235</v>
      </c>
      <c r="D399" s="12">
        <v>194</v>
      </c>
      <c r="E399" s="12">
        <v>155</v>
      </c>
      <c r="F399" s="12">
        <v>127</v>
      </c>
      <c r="G399" s="12">
        <v>116</v>
      </c>
      <c r="H399" s="12">
        <v>85.1</v>
      </c>
      <c r="I399" s="12">
        <v>69.8</v>
      </c>
      <c r="J399" s="12">
        <v>53.9</v>
      </c>
      <c r="K399" s="12">
        <v>41</v>
      </c>
      <c r="L399" s="12">
        <v>29.6</v>
      </c>
      <c r="M399" s="12">
        <v>24.2</v>
      </c>
      <c r="N399" s="12">
        <v>19.600000000000001</v>
      </c>
      <c r="O399" s="12">
        <v>17.399999999999999</v>
      </c>
      <c r="P399" s="12">
        <v>11.4</v>
      </c>
    </row>
    <row r="400" spans="1:16" s="35" customFormat="1" x14ac:dyDescent="0.15">
      <c r="A400" s="33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</row>
    <row r="401" spans="1:16" x14ac:dyDescent="0.15">
      <c r="A401" s="30" t="s">
        <v>225</v>
      </c>
      <c r="B401" s="30" t="s">
        <v>197</v>
      </c>
      <c r="C401" s="30" t="s">
        <v>156</v>
      </c>
      <c r="D401" s="30" t="s">
        <v>157</v>
      </c>
      <c r="E401" s="30" t="s">
        <v>158</v>
      </c>
      <c r="F401" s="30" t="s">
        <v>223</v>
      </c>
      <c r="G401" s="30" t="s">
        <v>159</v>
      </c>
      <c r="H401" s="30" t="s">
        <v>160</v>
      </c>
      <c r="I401" s="30" t="s">
        <v>198</v>
      </c>
      <c r="J401" s="30" t="s">
        <v>199</v>
      </c>
      <c r="K401" s="30" t="s">
        <v>200</v>
      </c>
      <c r="L401" s="30" t="s">
        <v>201</v>
      </c>
      <c r="M401" s="30" t="s">
        <v>202</v>
      </c>
      <c r="N401" s="30" t="s">
        <v>203</v>
      </c>
      <c r="O401" s="30" t="s">
        <v>204</v>
      </c>
      <c r="P401" s="30" t="s">
        <v>205</v>
      </c>
    </row>
    <row r="402" spans="1:16" x14ac:dyDescent="0.15">
      <c r="A402" s="9">
        <v>1.6</v>
      </c>
      <c r="B402" s="12">
        <v>435</v>
      </c>
      <c r="C402" s="12">
        <v>330</v>
      </c>
      <c r="D402" s="12">
        <v>268</v>
      </c>
      <c r="E402" s="12">
        <v>221</v>
      </c>
      <c r="F402" s="12">
        <v>183</v>
      </c>
      <c r="G402" s="12">
        <v>170</v>
      </c>
      <c r="H402" s="12">
        <v>124</v>
      </c>
      <c r="I402" s="12">
        <v>97.8</v>
      </c>
      <c r="J402" s="12">
        <v>74.599999999999994</v>
      </c>
      <c r="K402" s="12">
        <v>56.9</v>
      </c>
      <c r="L402" s="12">
        <v>42.5</v>
      </c>
      <c r="M402" s="12">
        <v>33</v>
      </c>
      <c r="N402" s="12">
        <v>26.9</v>
      </c>
      <c r="O402" s="12">
        <v>22.9</v>
      </c>
      <c r="P402" s="12">
        <v>15.1</v>
      </c>
    </row>
    <row r="403" spans="1:16" x14ac:dyDescent="0.15">
      <c r="A403" s="9">
        <v>1.65</v>
      </c>
      <c r="B403" s="12">
        <v>424</v>
      </c>
      <c r="C403" s="12">
        <v>317</v>
      </c>
      <c r="D403" s="12">
        <v>260</v>
      </c>
      <c r="E403" s="12">
        <v>215</v>
      </c>
      <c r="F403" s="12">
        <v>179</v>
      </c>
      <c r="G403" s="12">
        <v>164</v>
      </c>
      <c r="H403" s="12">
        <v>121</v>
      </c>
      <c r="I403" s="12">
        <v>94.3</v>
      </c>
      <c r="J403" s="12">
        <v>72.5</v>
      </c>
      <c r="K403" s="12">
        <v>55.2</v>
      </c>
      <c r="L403" s="12">
        <v>41.4</v>
      </c>
      <c r="M403" s="12">
        <v>32.4</v>
      </c>
      <c r="N403" s="12">
        <v>26.1</v>
      </c>
      <c r="O403" s="12">
        <v>22.5</v>
      </c>
      <c r="P403" s="12">
        <v>15</v>
      </c>
    </row>
    <row r="404" spans="1:16" x14ac:dyDescent="0.15">
      <c r="A404" s="9">
        <v>1.67</v>
      </c>
      <c r="B404" s="12">
        <v>405</v>
      </c>
      <c r="C404" s="12">
        <v>310</v>
      </c>
      <c r="D404" s="12">
        <v>255</v>
      </c>
      <c r="E404" s="12">
        <v>211</v>
      </c>
      <c r="F404" s="12">
        <v>175</v>
      </c>
      <c r="G404" s="12">
        <v>160</v>
      </c>
      <c r="H404" s="12">
        <v>118</v>
      </c>
      <c r="I404" s="12">
        <v>92.9</v>
      </c>
      <c r="J404" s="12">
        <v>70.7</v>
      </c>
      <c r="K404" s="12">
        <v>53.9</v>
      </c>
      <c r="L404" s="12">
        <v>40.6</v>
      </c>
      <c r="M404" s="12">
        <v>31.6</v>
      </c>
      <c r="N404" s="12">
        <v>25.5</v>
      </c>
      <c r="O404" s="12">
        <v>22.2</v>
      </c>
      <c r="P404" s="12">
        <v>14.8</v>
      </c>
    </row>
    <row r="405" spans="1:16" x14ac:dyDescent="0.15">
      <c r="A405" s="9">
        <v>1.7</v>
      </c>
      <c r="B405" s="12">
        <v>388</v>
      </c>
      <c r="C405" s="12">
        <v>304</v>
      </c>
      <c r="D405" s="12">
        <v>252</v>
      </c>
      <c r="E405" s="12">
        <v>205</v>
      </c>
      <c r="F405" s="12">
        <v>170</v>
      </c>
      <c r="G405" s="12">
        <v>156</v>
      </c>
      <c r="H405" s="12">
        <v>117</v>
      </c>
      <c r="I405" s="12">
        <v>90.8</v>
      </c>
      <c r="J405" s="12">
        <v>69.400000000000006</v>
      </c>
      <c r="K405" s="12">
        <v>52.9</v>
      </c>
      <c r="L405" s="12">
        <v>40</v>
      </c>
      <c r="M405" s="12">
        <v>31</v>
      </c>
      <c r="N405" s="12">
        <v>25.1</v>
      </c>
      <c r="O405" s="12">
        <v>21.8</v>
      </c>
      <c r="P405" s="12">
        <v>14.6</v>
      </c>
    </row>
    <row r="406" spans="1:16" x14ac:dyDescent="0.15">
      <c r="A406" s="9">
        <v>1.75</v>
      </c>
      <c r="B406" s="12">
        <v>375</v>
      </c>
      <c r="C406" s="12">
        <v>295</v>
      </c>
      <c r="D406" s="12">
        <v>242</v>
      </c>
      <c r="E406" s="12">
        <v>197</v>
      </c>
      <c r="F406" s="12">
        <v>164</v>
      </c>
      <c r="G406" s="12">
        <v>150</v>
      </c>
      <c r="H406" s="12">
        <v>113</v>
      </c>
      <c r="I406" s="12">
        <v>88.1</v>
      </c>
      <c r="J406" s="12">
        <v>67.8</v>
      </c>
      <c r="K406" s="12">
        <v>51.8</v>
      </c>
      <c r="L406" s="12">
        <v>38.799999999999997</v>
      </c>
      <c r="M406" s="12">
        <v>30</v>
      </c>
      <c r="N406" s="12">
        <v>24.6</v>
      </c>
      <c r="O406" s="12">
        <v>21.4</v>
      </c>
      <c r="P406" s="12">
        <v>14.4</v>
      </c>
    </row>
    <row r="407" spans="1:16" x14ac:dyDescent="0.15">
      <c r="A407" s="9">
        <v>1.8</v>
      </c>
      <c r="B407" s="12">
        <v>365</v>
      </c>
      <c r="C407" s="12">
        <v>283</v>
      </c>
      <c r="D407" s="12">
        <v>232</v>
      </c>
      <c r="E407" s="12">
        <v>191</v>
      </c>
      <c r="F407" s="12">
        <v>158</v>
      </c>
      <c r="G407" s="12">
        <v>144</v>
      </c>
      <c r="H407" s="12">
        <v>109</v>
      </c>
      <c r="I407" s="12">
        <v>84.6</v>
      </c>
      <c r="J407" s="12">
        <v>65.3</v>
      </c>
      <c r="K407" s="12">
        <v>50.1</v>
      </c>
      <c r="L407" s="12">
        <v>37.6</v>
      </c>
      <c r="M407" s="12">
        <v>29.2</v>
      </c>
      <c r="N407" s="12">
        <v>23.9</v>
      </c>
      <c r="O407" s="12">
        <v>20.9</v>
      </c>
      <c r="P407" s="12">
        <v>14.1</v>
      </c>
    </row>
    <row r="408" spans="1:16" s="35" customFormat="1" x14ac:dyDescent="0.15">
      <c r="A408" s="33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</row>
    <row r="409" spans="1:16" x14ac:dyDescent="0.15">
      <c r="A409" s="30" t="s">
        <v>226</v>
      </c>
      <c r="B409" s="30" t="s">
        <v>197</v>
      </c>
      <c r="C409" s="30" t="s">
        <v>156</v>
      </c>
      <c r="D409" s="30" t="s">
        <v>157</v>
      </c>
      <c r="E409" s="30" t="s">
        <v>158</v>
      </c>
      <c r="F409" s="30" t="s">
        <v>223</v>
      </c>
      <c r="G409" s="30" t="s">
        <v>159</v>
      </c>
      <c r="H409" s="30" t="s">
        <v>160</v>
      </c>
      <c r="I409" s="30" t="s">
        <v>198</v>
      </c>
      <c r="J409" s="30" t="s">
        <v>199</v>
      </c>
      <c r="K409" s="30" t="s">
        <v>200</v>
      </c>
      <c r="L409" s="30" t="s">
        <v>201</v>
      </c>
      <c r="M409" s="30" t="s">
        <v>202</v>
      </c>
      <c r="N409" s="30" t="s">
        <v>203</v>
      </c>
      <c r="O409" s="30" t="s">
        <v>204</v>
      </c>
      <c r="P409" s="30" t="s">
        <v>205</v>
      </c>
    </row>
    <row r="410" spans="1:16" x14ac:dyDescent="0.15">
      <c r="A410" s="9">
        <v>1.6</v>
      </c>
      <c r="B410" s="12">
        <v>520</v>
      </c>
      <c r="C410" s="12">
        <v>399</v>
      </c>
      <c r="D410" s="12">
        <v>315</v>
      </c>
      <c r="E410" s="12">
        <v>274</v>
      </c>
      <c r="F410" s="12">
        <v>226</v>
      </c>
      <c r="G410" s="12">
        <v>206</v>
      </c>
      <c r="H410" s="12">
        <v>149</v>
      </c>
      <c r="I410" s="12">
        <v>117</v>
      </c>
      <c r="J410" s="12">
        <v>89.5</v>
      </c>
      <c r="K410" s="12">
        <v>68.2</v>
      </c>
      <c r="L410" s="12">
        <v>51</v>
      </c>
      <c r="M410" s="12">
        <v>39.700000000000003</v>
      </c>
      <c r="N410" s="12">
        <v>32.299999999999997</v>
      </c>
      <c r="O410" s="12">
        <v>27.4</v>
      </c>
      <c r="P410" s="12">
        <v>18.100000000000001</v>
      </c>
    </row>
    <row r="411" spans="1:16" x14ac:dyDescent="0.15">
      <c r="A411" s="9">
        <v>1.65</v>
      </c>
      <c r="B411" s="12">
        <v>506</v>
      </c>
      <c r="C411" s="12">
        <v>388</v>
      </c>
      <c r="D411" s="12">
        <v>306</v>
      </c>
      <c r="E411" s="12">
        <v>265</v>
      </c>
      <c r="F411" s="12">
        <v>219</v>
      </c>
      <c r="G411" s="12">
        <v>199</v>
      </c>
      <c r="H411" s="12">
        <v>145</v>
      </c>
      <c r="I411" s="12">
        <v>113</v>
      </c>
      <c r="J411" s="12">
        <v>87</v>
      </c>
      <c r="K411" s="12">
        <v>66.3</v>
      </c>
      <c r="L411" s="12">
        <v>49.7</v>
      </c>
      <c r="M411" s="12">
        <v>38.799999999999997</v>
      </c>
      <c r="N411" s="12">
        <v>31.4</v>
      </c>
      <c r="O411" s="12">
        <v>27</v>
      </c>
      <c r="P411" s="12">
        <v>17.899999999999999</v>
      </c>
    </row>
    <row r="412" spans="1:16" x14ac:dyDescent="0.15">
      <c r="A412" s="9">
        <v>1.67</v>
      </c>
      <c r="B412" s="12">
        <v>483</v>
      </c>
      <c r="C412" s="12">
        <v>380</v>
      </c>
      <c r="D412" s="12">
        <v>300</v>
      </c>
      <c r="E412" s="12">
        <v>260</v>
      </c>
      <c r="F412" s="12">
        <v>214</v>
      </c>
      <c r="G412" s="12">
        <v>194</v>
      </c>
      <c r="H412" s="12">
        <v>142</v>
      </c>
      <c r="I412" s="12">
        <v>111</v>
      </c>
      <c r="J412" s="12">
        <v>84.8</v>
      </c>
      <c r="K412" s="12">
        <v>64.599999999999994</v>
      </c>
      <c r="L412" s="12">
        <v>48.7</v>
      </c>
      <c r="M412" s="12">
        <v>37.9</v>
      </c>
      <c r="N412" s="12">
        <v>30.6</v>
      </c>
      <c r="O412" s="12">
        <v>26.6</v>
      </c>
      <c r="P412" s="12">
        <v>17.8</v>
      </c>
    </row>
    <row r="413" spans="1:16" x14ac:dyDescent="0.15">
      <c r="A413" s="9">
        <v>1.7</v>
      </c>
      <c r="B413" s="12">
        <v>463</v>
      </c>
      <c r="C413" s="12">
        <v>372</v>
      </c>
      <c r="D413" s="12">
        <v>296</v>
      </c>
      <c r="E413" s="12">
        <v>254</v>
      </c>
      <c r="F413" s="12">
        <v>210</v>
      </c>
      <c r="G413" s="12">
        <v>188</v>
      </c>
      <c r="H413" s="12">
        <v>140</v>
      </c>
      <c r="I413" s="12">
        <v>109</v>
      </c>
      <c r="J413" s="12">
        <v>83.3</v>
      </c>
      <c r="K413" s="12">
        <v>63.5</v>
      </c>
      <c r="L413" s="12">
        <v>48</v>
      </c>
      <c r="M413" s="12">
        <v>37.299999999999997</v>
      </c>
      <c r="N413" s="12">
        <v>30.2</v>
      </c>
      <c r="O413" s="12">
        <v>26.2</v>
      </c>
      <c r="P413" s="12">
        <v>17.5</v>
      </c>
    </row>
    <row r="414" spans="1:16" x14ac:dyDescent="0.15">
      <c r="A414" s="9">
        <v>1.75</v>
      </c>
      <c r="B414" s="12">
        <v>449</v>
      </c>
      <c r="C414" s="12">
        <v>361</v>
      </c>
      <c r="D414" s="12">
        <v>284</v>
      </c>
      <c r="E414" s="12">
        <v>244</v>
      </c>
      <c r="F414" s="12">
        <v>203</v>
      </c>
      <c r="G414" s="12">
        <v>182</v>
      </c>
      <c r="H414" s="12">
        <v>136</v>
      </c>
      <c r="I414" s="12">
        <v>106</v>
      </c>
      <c r="J414" s="12">
        <v>81.400000000000006</v>
      </c>
      <c r="K414" s="12">
        <v>62.2</v>
      </c>
      <c r="L414" s="12">
        <v>46.5</v>
      </c>
      <c r="M414" s="12">
        <v>36.1</v>
      </c>
      <c r="N414" s="12">
        <v>29.5</v>
      </c>
      <c r="O414" s="12">
        <v>25.7</v>
      </c>
      <c r="P414" s="12">
        <v>17.3</v>
      </c>
    </row>
    <row r="415" spans="1:16" x14ac:dyDescent="0.15">
      <c r="A415" s="9">
        <v>1.8</v>
      </c>
      <c r="B415" s="12">
        <v>433</v>
      </c>
      <c r="C415" s="12">
        <v>347</v>
      </c>
      <c r="D415" s="12">
        <v>273</v>
      </c>
      <c r="E415" s="12">
        <v>236</v>
      </c>
      <c r="F415" s="12">
        <v>195</v>
      </c>
      <c r="G415" s="12">
        <v>174</v>
      </c>
      <c r="H415" s="12">
        <v>130</v>
      </c>
      <c r="I415" s="12">
        <v>102</v>
      </c>
      <c r="J415" s="12">
        <v>78.400000000000006</v>
      </c>
      <c r="K415" s="12">
        <v>60.1</v>
      </c>
      <c r="L415" s="12">
        <v>45.1</v>
      </c>
      <c r="M415" s="12">
        <v>35.1</v>
      </c>
      <c r="N415" s="12">
        <v>28.7</v>
      </c>
      <c r="O415" s="12">
        <v>25.1</v>
      </c>
      <c r="P415" s="12">
        <v>16.899999999999999</v>
      </c>
    </row>
    <row r="416" spans="1:16" s="35" customFormat="1" x14ac:dyDescent="0.15">
      <c r="A416" s="33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</row>
    <row r="417" spans="1:16" x14ac:dyDescent="0.15">
      <c r="A417" s="30" t="s">
        <v>227</v>
      </c>
      <c r="B417" s="30" t="s">
        <v>197</v>
      </c>
      <c r="C417" s="30" t="s">
        <v>156</v>
      </c>
      <c r="D417" s="30" t="s">
        <v>157</v>
      </c>
      <c r="E417" s="30" t="s">
        <v>158</v>
      </c>
      <c r="F417" s="30" t="s">
        <v>223</v>
      </c>
      <c r="G417" s="30" t="s">
        <v>159</v>
      </c>
      <c r="H417" s="30" t="s">
        <v>160</v>
      </c>
      <c r="I417" s="30" t="s">
        <v>198</v>
      </c>
      <c r="J417" s="30" t="s">
        <v>199</v>
      </c>
      <c r="K417" s="30" t="s">
        <v>200</v>
      </c>
      <c r="L417" s="30" t="s">
        <v>201</v>
      </c>
      <c r="M417" s="30" t="s">
        <v>202</v>
      </c>
      <c r="N417" s="30" t="s">
        <v>203</v>
      </c>
      <c r="O417" s="30" t="s">
        <v>204</v>
      </c>
      <c r="P417" s="30" t="s">
        <v>205</v>
      </c>
    </row>
    <row r="418" spans="1:16" x14ac:dyDescent="0.15">
      <c r="A418" s="9">
        <v>1.6</v>
      </c>
      <c r="B418" s="12">
        <v>533</v>
      </c>
      <c r="C418" s="12">
        <v>412</v>
      </c>
      <c r="D418" s="12">
        <v>335</v>
      </c>
      <c r="E418" s="12">
        <v>288</v>
      </c>
      <c r="F418" s="12">
        <v>238</v>
      </c>
      <c r="G418" s="12">
        <v>217</v>
      </c>
      <c r="H418" s="12">
        <v>155</v>
      </c>
      <c r="I418" s="12">
        <v>122</v>
      </c>
      <c r="J418" s="12">
        <v>93.2</v>
      </c>
      <c r="K418" s="12">
        <v>71.099999999999994</v>
      </c>
      <c r="L418" s="12">
        <v>53.1</v>
      </c>
      <c r="M418" s="12">
        <v>41.3</v>
      </c>
      <c r="N418" s="12">
        <v>33.6</v>
      </c>
      <c r="O418" s="12">
        <v>28.6</v>
      </c>
      <c r="P418" s="12">
        <v>18.899999999999999</v>
      </c>
    </row>
    <row r="419" spans="1:16" x14ac:dyDescent="0.15">
      <c r="A419" s="9">
        <v>1.65</v>
      </c>
      <c r="B419" s="12">
        <v>519</v>
      </c>
      <c r="C419" s="12">
        <v>400</v>
      </c>
      <c r="D419" s="12">
        <v>325</v>
      </c>
      <c r="E419" s="12">
        <v>279</v>
      </c>
      <c r="F419" s="12">
        <v>231</v>
      </c>
      <c r="G419" s="12">
        <v>210</v>
      </c>
      <c r="H419" s="12">
        <v>151</v>
      </c>
      <c r="I419" s="12">
        <v>118</v>
      </c>
      <c r="J419" s="12">
        <v>90.7</v>
      </c>
      <c r="K419" s="12">
        <v>69</v>
      </c>
      <c r="L419" s="12">
        <v>51.7</v>
      </c>
      <c r="M419" s="12">
        <v>40.4</v>
      </c>
      <c r="N419" s="12">
        <v>32.700000000000003</v>
      </c>
      <c r="O419" s="12">
        <v>28.1</v>
      </c>
      <c r="P419" s="12">
        <v>18.7</v>
      </c>
    </row>
    <row r="420" spans="1:16" x14ac:dyDescent="0.15">
      <c r="A420" s="9">
        <v>1.67</v>
      </c>
      <c r="B420" s="12">
        <v>496</v>
      </c>
      <c r="C420" s="12">
        <v>392</v>
      </c>
      <c r="D420" s="12">
        <v>320</v>
      </c>
      <c r="E420" s="12">
        <v>274</v>
      </c>
      <c r="F420" s="12">
        <v>226</v>
      </c>
      <c r="G420" s="12">
        <v>204</v>
      </c>
      <c r="H420" s="12">
        <v>148</v>
      </c>
      <c r="I420" s="12">
        <v>116</v>
      </c>
      <c r="J420" s="12">
        <v>88.4</v>
      </c>
      <c r="K420" s="12">
        <v>67.3</v>
      </c>
      <c r="L420" s="12">
        <v>50.7</v>
      </c>
      <c r="M420" s="12">
        <v>39.5</v>
      </c>
      <c r="N420" s="12">
        <v>31.9</v>
      </c>
      <c r="O420" s="12">
        <v>27.7</v>
      </c>
      <c r="P420" s="12">
        <v>18.5</v>
      </c>
    </row>
    <row r="421" spans="1:16" x14ac:dyDescent="0.15">
      <c r="A421" s="9">
        <v>1.7</v>
      </c>
      <c r="B421" s="12">
        <v>475</v>
      </c>
      <c r="C421" s="12">
        <v>383</v>
      </c>
      <c r="D421" s="12">
        <v>314</v>
      </c>
      <c r="E421" s="12">
        <v>267</v>
      </c>
      <c r="F421" s="12">
        <v>221</v>
      </c>
      <c r="G421" s="12">
        <v>198</v>
      </c>
      <c r="H421" s="12">
        <v>146</v>
      </c>
      <c r="I421" s="12">
        <v>114</v>
      </c>
      <c r="J421" s="12">
        <v>86.8</v>
      </c>
      <c r="K421" s="12">
        <v>66.099999999999994</v>
      </c>
      <c r="L421" s="12">
        <v>50</v>
      </c>
      <c r="M421" s="12">
        <v>38.799999999999997</v>
      </c>
      <c r="N421" s="12">
        <v>31.4</v>
      </c>
      <c r="O421" s="12">
        <v>27.3</v>
      </c>
      <c r="P421" s="12">
        <v>18.3</v>
      </c>
    </row>
    <row r="422" spans="1:16" x14ac:dyDescent="0.15">
      <c r="A422" s="9">
        <v>1.75</v>
      </c>
      <c r="B422" s="12">
        <v>460</v>
      </c>
      <c r="C422" s="12">
        <v>373</v>
      </c>
      <c r="D422" s="12">
        <v>302</v>
      </c>
      <c r="E422" s="12">
        <v>257</v>
      </c>
      <c r="F422" s="12">
        <v>214</v>
      </c>
      <c r="G422" s="12">
        <v>191</v>
      </c>
      <c r="H422" s="12">
        <v>142</v>
      </c>
      <c r="I422" s="12">
        <v>110</v>
      </c>
      <c r="J422" s="12">
        <v>84.7</v>
      </c>
      <c r="K422" s="12">
        <v>64.8</v>
      </c>
      <c r="L422" s="12">
        <v>48.5</v>
      </c>
      <c r="M422" s="12">
        <v>37.6</v>
      </c>
      <c r="N422" s="12">
        <v>30.7</v>
      </c>
      <c r="O422" s="12">
        <v>26.8</v>
      </c>
      <c r="P422" s="12">
        <v>18</v>
      </c>
    </row>
    <row r="423" spans="1:16" x14ac:dyDescent="0.15">
      <c r="A423" s="9">
        <v>1.8</v>
      </c>
      <c r="B423" s="12">
        <v>444</v>
      </c>
      <c r="C423" s="12">
        <v>358</v>
      </c>
      <c r="D423" s="12">
        <v>290</v>
      </c>
      <c r="E423" s="12">
        <v>249</v>
      </c>
      <c r="F423" s="12">
        <v>206</v>
      </c>
      <c r="G423" s="12">
        <v>183</v>
      </c>
      <c r="H423" s="12">
        <v>136</v>
      </c>
      <c r="I423" s="12">
        <v>106</v>
      </c>
      <c r="J423" s="12">
        <v>81.7</v>
      </c>
      <c r="K423" s="12">
        <v>62.6</v>
      </c>
      <c r="L423" s="12">
        <v>46.9</v>
      </c>
      <c r="M423" s="12">
        <v>36.5</v>
      </c>
      <c r="N423" s="12">
        <v>29.9</v>
      </c>
      <c r="O423" s="12">
        <v>26.1</v>
      </c>
      <c r="P423" s="12">
        <v>17.7</v>
      </c>
    </row>
    <row r="424" spans="1:16" s="35" customFormat="1" x14ac:dyDescent="0.15">
      <c r="A424" s="33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</row>
    <row r="425" spans="1:16" x14ac:dyDescent="0.15">
      <c r="A425" s="30" t="s">
        <v>228</v>
      </c>
      <c r="B425" s="30" t="s">
        <v>197</v>
      </c>
      <c r="C425" s="30" t="s">
        <v>156</v>
      </c>
      <c r="D425" s="30" t="s">
        <v>157</v>
      </c>
      <c r="E425" s="30" t="s">
        <v>158</v>
      </c>
      <c r="F425" s="30" t="s">
        <v>223</v>
      </c>
      <c r="G425" s="30" t="s">
        <v>159</v>
      </c>
      <c r="H425" s="30" t="s">
        <v>160</v>
      </c>
      <c r="I425" s="30" t="s">
        <v>198</v>
      </c>
      <c r="J425" s="30" t="s">
        <v>199</v>
      </c>
      <c r="K425" s="30" t="s">
        <v>200</v>
      </c>
      <c r="L425" s="30" t="s">
        <v>201</v>
      </c>
      <c r="M425" s="30" t="s">
        <v>202</v>
      </c>
      <c r="N425" s="30" t="s">
        <v>203</v>
      </c>
      <c r="O425" s="30" t="s">
        <v>204</v>
      </c>
      <c r="P425" s="30" t="s">
        <v>205</v>
      </c>
    </row>
    <row r="426" spans="1:16" x14ac:dyDescent="0.15">
      <c r="A426" s="9">
        <v>1.6</v>
      </c>
      <c r="B426" s="12">
        <v>560</v>
      </c>
      <c r="C426" s="12">
        <v>440</v>
      </c>
      <c r="D426" s="12">
        <v>352</v>
      </c>
      <c r="E426" s="12">
        <v>297</v>
      </c>
      <c r="F426" s="12">
        <v>245</v>
      </c>
      <c r="G426" s="12">
        <v>223</v>
      </c>
      <c r="H426" s="12">
        <v>162</v>
      </c>
      <c r="I426" s="12">
        <v>128</v>
      </c>
      <c r="J426" s="12">
        <v>96.9</v>
      </c>
      <c r="K426" s="12">
        <v>73.2</v>
      </c>
      <c r="L426" s="12">
        <v>54.7</v>
      </c>
      <c r="M426" s="12">
        <v>42.5</v>
      </c>
      <c r="N426" s="12">
        <v>34.6</v>
      </c>
      <c r="O426" s="12">
        <v>29.5</v>
      </c>
      <c r="P426" s="12">
        <v>19.399999999999999</v>
      </c>
    </row>
    <row r="427" spans="1:16" x14ac:dyDescent="0.15">
      <c r="A427" s="9">
        <v>1.65</v>
      </c>
      <c r="B427" s="12">
        <v>545</v>
      </c>
      <c r="C427" s="12">
        <v>426</v>
      </c>
      <c r="D427" s="12">
        <v>345</v>
      </c>
      <c r="E427" s="12">
        <v>288</v>
      </c>
      <c r="F427" s="12">
        <v>238</v>
      </c>
      <c r="G427" s="12">
        <v>216</v>
      </c>
      <c r="H427" s="12">
        <v>157</v>
      </c>
      <c r="I427" s="12">
        <v>124</v>
      </c>
      <c r="J427" s="12">
        <v>94.3</v>
      </c>
      <c r="K427" s="12">
        <v>71.099999999999994</v>
      </c>
      <c r="L427" s="12">
        <v>53.3</v>
      </c>
      <c r="M427" s="12">
        <v>41.7</v>
      </c>
      <c r="N427" s="12">
        <v>33.700000000000003</v>
      </c>
      <c r="O427" s="12">
        <v>29</v>
      </c>
      <c r="P427" s="12">
        <v>19.2</v>
      </c>
    </row>
    <row r="428" spans="1:16" x14ac:dyDescent="0.15">
      <c r="A428" s="9">
        <v>1.67</v>
      </c>
      <c r="B428" s="12">
        <v>521</v>
      </c>
      <c r="C428" s="12">
        <v>419</v>
      </c>
      <c r="D428" s="12">
        <v>340</v>
      </c>
      <c r="E428" s="12">
        <v>282</v>
      </c>
      <c r="F428" s="12">
        <v>233</v>
      </c>
      <c r="G428" s="12">
        <v>210</v>
      </c>
      <c r="H428" s="12">
        <v>154</v>
      </c>
      <c r="I428" s="12">
        <v>122</v>
      </c>
      <c r="J428" s="12">
        <v>91.9</v>
      </c>
      <c r="K428" s="12">
        <v>69.3</v>
      </c>
      <c r="L428" s="12">
        <v>52.2</v>
      </c>
      <c r="M428" s="12">
        <v>40.700000000000003</v>
      </c>
      <c r="N428" s="12">
        <v>32.799999999999997</v>
      </c>
      <c r="O428" s="12">
        <v>28.6</v>
      </c>
      <c r="P428" s="12">
        <v>19.100000000000001</v>
      </c>
    </row>
    <row r="429" spans="1:16" x14ac:dyDescent="0.15">
      <c r="A429" s="9">
        <v>1.7</v>
      </c>
      <c r="B429" s="12">
        <v>499</v>
      </c>
      <c r="C429" s="12">
        <v>410</v>
      </c>
      <c r="D429" s="12">
        <v>330</v>
      </c>
      <c r="E429" s="12">
        <v>275</v>
      </c>
      <c r="F429" s="12">
        <v>228</v>
      </c>
      <c r="G429" s="12">
        <v>204</v>
      </c>
      <c r="H429" s="12">
        <v>152</v>
      </c>
      <c r="I429" s="12">
        <v>119</v>
      </c>
      <c r="J429" s="12">
        <v>90.3</v>
      </c>
      <c r="K429" s="12">
        <v>68.099999999999994</v>
      </c>
      <c r="L429" s="12">
        <v>51.5</v>
      </c>
      <c r="M429" s="12">
        <v>40</v>
      </c>
      <c r="N429" s="12">
        <v>32.4</v>
      </c>
      <c r="O429" s="12">
        <v>28.1</v>
      </c>
      <c r="P429" s="12">
        <v>18.8</v>
      </c>
    </row>
    <row r="430" spans="1:16" x14ac:dyDescent="0.15">
      <c r="A430" s="9">
        <v>1.75</v>
      </c>
      <c r="B430" s="12">
        <v>484</v>
      </c>
      <c r="C430" s="12">
        <v>387</v>
      </c>
      <c r="D430" s="12">
        <v>318</v>
      </c>
      <c r="E430" s="12">
        <v>264</v>
      </c>
      <c r="F430" s="12">
        <v>220</v>
      </c>
      <c r="G430" s="12">
        <v>197</v>
      </c>
      <c r="H430" s="12">
        <v>147</v>
      </c>
      <c r="I430" s="12">
        <v>116</v>
      </c>
      <c r="J430" s="12">
        <v>88.1</v>
      </c>
      <c r="K430" s="12">
        <v>66.7</v>
      </c>
      <c r="L430" s="12">
        <v>49.9</v>
      </c>
      <c r="M430" s="12">
        <v>38.700000000000003</v>
      </c>
      <c r="N430" s="12">
        <v>31.7</v>
      </c>
      <c r="O430" s="12">
        <v>27.6</v>
      </c>
      <c r="P430" s="12">
        <v>18.5</v>
      </c>
    </row>
    <row r="431" spans="1:16" x14ac:dyDescent="0.15">
      <c r="A431" s="9">
        <v>1.8</v>
      </c>
      <c r="B431" s="12">
        <v>466</v>
      </c>
      <c r="C431" s="12">
        <v>368</v>
      </c>
      <c r="D431" s="12">
        <v>305</v>
      </c>
      <c r="E431" s="12">
        <v>256</v>
      </c>
      <c r="F431" s="12">
        <v>212</v>
      </c>
      <c r="G431" s="12">
        <v>189</v>
      </c>
      <c r="H431" s="12">
        <v>141</v>
      </c>
      <c r="I431" s="12">
        <v>111</v>
      </c>
      <c r="J431" s="12">
        <v>84.9</v>
      </c>
      <c r="K431" s="12">
        <v>64.400000000000006</v>
      </c>
      <c r="L431" s="12">
        <v>48.4</v>
      </c>
      <c r="M431" s="12">
        <v>37.6</v>
      </c>
      <c r="N431" s="12">
        <v>30.8</v>
      </c>
      <c r="O431" s="12">
        <v>26.9</v>
      </c>
      <c r="P431" s="12">
        <v>18.2</v>
      </c>
    </row>
    <row r="432" spans="1:16" s="35" customFormat="1" x14ac:dyDescent="0.15">
      <c r="A432" s="33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</row>
    <row r="433" spans="1:16" x14ac:dyDescent="0.15">
      <c r="A433" s="30" t="s">
        <v>229</v>
      </c>
      <c r="B433" s="30" t="s">
        <v>197</v>
      </c>
      <c r="C433" s="30" t="s">
        <v>156</v>
      </c>
      <c r="D433" s="30" t="s">
        <v>157</v>
      </c>
      <c r="E433" s="30" t="s">
        <v>158</v>
      </c>
      <c r="F433" s="30" t="s">
        <v>223</v>
      </c>
      <c r="G433" s="30" t="s">
        <v>159</v>
      </c>
      <c r="H433" s="30" t="s">
        <v>160</v>
      </c>
      <c r="I433" s="30" t="s">
        <v>198</v>
      </c>
      <c r="J433" s="30" t="s">
        <v>199</v>
      </c>
      <c r="K433" s="30" t="s">
        <v>200</v>
      </c>
      <c r="L433" s="30" t="s">
        <v>201</v>
      </c>
      <c r="M433" s="30" t="s">
        <v>202</v>
      </c>
      <c r="N433" s="30" t="s">
        <v>203</v>
      </c>
      <c r="O433" s="30" t="s">
        <v>204</v>
      </c>
      <c r="P433" s="30" t="s">
        <v>205</v>
      </c>
    </row>
    <row r="434" spans="1:16" x14ac:dyDescent="0.15">
      <c r="A434" s="9">
        <v>1.6</v>
      </c>
      <c r="B434" s="12">
        <v>640</v>
      </c>
      <c r="C434" s="12">
        <v>494</v>
      </c>
      <c r="D434" s="12">
        <v>410</v>
      </c>
      <c r="E434" s="12">
        <v>346</v>
      </c>
      <c r="F434" s="12">
        <v>286</v>
      </c>
      <c r="G434" s="12">
        <v>260</v>
      </c>
      <c r="H434" s="12">
        <v>186</v>
      </c>
      <c r="I434" s="12">
        <v>147</v>
      </c>
      <c r="J434" s="12">
        <v>112</v>
      </c>
      <c r="K434" s="12">
        <v>85.3</v>
      </c>
      <c r="L434" s="12">
        <v>63.7</v>
      </c>
      <c r="M434" s="12">
        <v>49.6</v>
      </c>
      <c r="N434" s="12">
        <v>40.299999999999997</v>
      </c>
      <c r="O434" s="12">
        <v>34.299999999999997</v>
      </c>
      <c r="P434" s="12">
        <v>22.6</v>
      </c>
    </row>
    <row r="435" spans="1:16" x14ac:dyDescent="0.15">
      <c r="A435" s="9">
        <v>1.65</v>
      </c>
      <c r="B435" s="12">
        <v>623</v>
      </c>
      <c r="C435" s="12">
        <v>480</v>
      </c>
      <c r="D435" s="12">
        <v>398</v>
      </c>
      <c r="E435" s="12">
        <v>335</v>
      </c>
      <c r="F435" s="12">
        <v>277</v>
      </c>
      <c r="G435" s="12">
        <v>252</v>
      </c>
      <c r="H435" s="12">
        <v>181</v>
      </c>
      <c r="I435" s="12">
        <v>141</v>
      </c>
      <c r="J435" s="12">
        <v>109</v>
      </c>
      <c r="K435" s="12">
        <v>82.8</v>
      </c>
      <c r="L435" s="12">
        <v>62.1</v>
      </c>
      <c r="M435" s="12">
        <v>48.5</v>
      </c>
      <c r="N435" s="12">
        <v>39.200000000000003</v>
      </c>
      <c r="O435" s="12">
        <v>33.799999999999997</v>
      </c>
      <c r="P435" s="12">
        <v>22.4</v>
      </c>
    </row>
    <row r="436" spans="1:16" x14ac:dyDescent="0.15">
      <c r="A436" s="9">
        <v>1.67</v>
      </c>
      <c r="B436" s="12">
        <v>595</v>
      </c>
      <c r="C436" s="12">
        <v>470</v>
      </c>
      <c r="D436" s="12">
        <v>390</v>
      </c>
      <c r="E436" s="12">
        <v>329</v>
      </c>
      <c r="F436" s="12">
        <v>271</v>
      </c>
      <c r="G436" s="12">
        <v>244</v>
      </c>
      <c r="H436" s="12">
        <v>177</v>
      </c>
      <c r="I436" s="12">
        <v>139</v>
      </c>
      <c r="J436" s="12">
        <v>106</v>
      </c>
      <c r="K436" s="12">
        <v>80.8</v>
      </c>
      <c r="L436" s="12">
        <v>60.8</v>
      </c>
      <c r="M436" s="12">
        <v>47.4</v>
      </c>
      <c r="N436" s="12">
        <v>38.299999999999997</v>
      </c>
      <c r="O436" s="12">
        <v>33.299999999999997</v>
      </c>
      <c r="P436" s="12">
        <v>22.2</v>
      </c>
    </row>
    <row r="437" spans="1:16" x14ac:dyDescent="0.15">
      <c r="A437" s="9">
        <v>1.7</v>
      </c>
      <c r="B437" s="12">
        <v>570</v>
      </c>
      <c r="C437" s="12">
        <v>460</v>
      </c>
      <c r="D437" s="12">
        <v>385</v>
      </c>
      <c r="E437" s="12">
        <v>321</v>
      </c>
      <c r="F437" s="12">
        <v>266</v>
      </c>
      <c r="G437" s="12">
        <v>238</v>
      </c>
      <c r="H437" s="12">
        <v>175</v>
      </c>
      <c r="I437" s="12">
        <v>136</v>
      </c>
      <c r="J437" s="12">
        <v>104</v>
      </c>
      <c r="K437" s="12">
        <v>79.400000000000006</v>
      </c>
      <c r="L437" s="12">
        <v>60</v>
      </c>
      <c r="M437" s="12">
        <v>46.6</v>
      </c>
      <c r="N437" s="12">
        <v>37.700000000000003</v>
      </c>
      <c r="O437" s="12">
        <v>32.700000000000003</v>
      </c>
      <c r="P437" s="12">
        <v>21.9</v>
      </c>
    </row>
    <row r="438" spans="1:16" x14ac:dyDescent="0.15">
      <c r="A438" s="9">
        <v>1.75</v>
      </c>
      <c r="B438" s="12">
        <v>552</v>
      </c>
      <c r="C438" s="12">
        <v>447</v>
      </c>
      <c r="D438" s="12">
        <v>372</v>
      </c>
      <c r="E438" s="12">
        <v>308</v>
      </c>
      <c r="F438" s="12">
        <v>256</v>
      </c>
      <c r="G438" s="12">
        <v>229</v>
      </c>
      <c r="H438" s="12">
        <v>170</v>
      </c>
      <c r="I438" s="12">
        <v>132</v>
      </c>
      <c r="J438" s="12">
        <v>102</v>
      </c>
      <c r="K438" s="12">
        <v>77.7</v>
      </c>
      <c r="L438" s="12">
        <v>58.2</v>
      </c>
      <c r="M438" s="12">
        <v>45.1</v>
      </c>
      <c r="N438" s="12">
        <v>36.9</v>
      </c>
      <c r="O438" s="12">
        <v>32.1</v>
      </c>
      <c r="P438" s="12">
        <v>21.6</v>
      </c>
    </row>
    <row r="439" spans="1:16" x14ac:dyDescent="0.15">
      <c r="A439" s="9">
        <v>1.8</v>
      </c>
      <c r="B439" s="12">
        <v>533</v>
      </c>
      <c r="C439" s="12">
        <v>429</v>
      </c>
      <c r="D439" s="12">
        <v>355</v>
      </c>
      <c r="E439" s="12">
        <v>298</v>
      </c>
      <c r="F439" s="12">
        <v>247</v>
      </c>
      <c r="G439" s="12">
        <v>220</v>
      </c>
      <c r="H439" s="12">
        <v>163</v>
      </c>
      <c r="I439" s="12">
        <v>127</v>
      </c>
      <c r="J439" s="12">
        <v>98</v>
      </c>
      <c r="K439" s="12">
        <v>75.099999999999994</v>
      </c>
      <c r="L439" s="12">
        <v>56.3</v>
      </c>
      <c r="M439" s="12">
        <v>43.8</v>
      </c>
      <c r="N439" s="12">
        <v>35.9</v>
      </c>
      <c r="O439" s="12">
        <v>31.3</v>
      </c>
      <c r="P439" s="12">
        <v>21.2</v>
      </c>
    </row>
    <row r="440" spans="1:16" s="35" customFormat="1" x14ac:dyDescent="0.15">
      <c r="A440" s="33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</row>
    <row r="441" spans="1:16" x14ac:dyDescent="0.15">
      <c r="A441" s="30" t="s">
        <v>230</v>
      </c>
      <c r="B441" s="30" t="s">
        <v>197</v>
      </c>
      <c r="C441" s="30" t="s">
        <v>156</v>
      </c>
      <c r="D441" s="30" t="s">
        <v>157</v>
      </c>
      <c r="E441" s="30" t="s">
        <v>158</v>
      </c>
      <c r="F441" s="30" t="s">
        <v>223</v>
      </c>
      <c r="G441" s="30" t="s">
        <v>159</v>
      </c>
      <c r="H441" s="30" t="s">
        <v>160</v>
      </c>
      <c r="I441" s="30" t="s">
        <v>198</v>
      </c>
      <c r="J441" s="30" t="s">
        <v>199</v>
      </c>
      <c r="K441" s="30" t="s">
        <v>200</v>
      </c>
      <c r="L441" s="30" t="s">
        <v>201</v>
      </c>
      <c r="M441" s="30" t="s">
        <v>202</v>
      </c>
      <c r="N441" s="30" t="s">
        <v>203</v>
      </c>
      <c r="O441" s="30" t="s">
        <v>204</v>
      </c>
      <c r="P441" s="30" t="s">
        <v>205</v>
      </c>
    </row>
    <row r="442" spans="1:16" x14ac:dyDescent="0.15">
      <c r="A442" s="9">
        <v>1.6</v>
      </c>
      <c r="B442" s="12">
        <v>702</v>
      </c>
      <c r="C442" s="12">
        <v>548</v>
      </c>
      <c r="D442" s="12">
        <v>464</v>
      </c>
      <c r="E442" s="12">
        <v>392</v>
      </c>
      <c r="F442" s="12">
        <v>340</v>
      </c>
      <c r="G442" s="12">
        <v>303</v>
      </c>
      <c r="H442" s="12">
        <v>218</v>
      </c>
      <c r="I442" s="12">
        <v>171</v>
      </c>
      <c r="J442" s="12">
        <v>132</v>
      </c>
      <c r="K442" s="12">
        <v>99.5</v>
      </c>
      <c r="L442" s="12">
        <v>74.3</v>
      </c>
      <c r="M442" s="12">
        <v>57.8</v>
      </c>
      <c r="N442" s="12">
        <v>47</v>
      </c>
      <c r="O442" s="12">
        <v>40</v>
      </c>
      <c r="P442" s="12">
        <v>26.4</v>
      </c>
    </row>
    <row r="443" spans="1:16" x14ac:dyDescent="0.15">
      <c r="A443" s="9">
        <v>1.65</v>
      </c>
      <c r="B443" s="12">
        <v>683</v>
      </c>
      <c r="C443" s="12">
        <v>532</v>
      </c>
      <c r="D443" s="12">
        <v>450</v>
      </c>
      <c r="E443" s="12">
        <v>379</v>
      </c>
      <c r="F443" s="12">
        <v>330</v>
      </c>
      <c r="G443" s="12">
        <v>294</v>
      </c>
      <c r="H443" s="12">
        <v>212</v>
      </c>
      <c r="I443" s="12">
        <v>165</v>
      </c>
      <c r="J443" s="12">
        <v>128</v>
      </c>
      <c r="K443" s="12">
        <v>96.6</v>
      </c>
      <c r="L443" s="12">
        <v>72.400000000000006</v>
      </c>
      <c r="M443" s="12">
        <v>56.6</v>
      </c>
      <c r="N443" s="12">
        <v>45.7</v>
      </c>
      <c r="O443" s="12">
        <v>39.4</v>
      </c>
      <c r="P443" s="12">
        <v>26.2</v>
      </c>
    </row>
    <row r="444" spans="1:16" x14ac:dyDescent="0.15">
      <c r="A444" s="9">
        <v>1.67</v>
      </c>
      <c r="B444" s="12">
        <v>653</v>
      </c>
      <c r="C444" s="12">
        <v>521</v>
      </c>
      <c r="D444" s="12">
        <v>440</v>
      </c>
      <c r="E444" s="12">
        <v>372</v>
      </c>
      <c r="F444" s="12">
        <v>322</v>
      </c>
      <c r="G444" s="12">
        <v>285</v>
      </c>
      <c r="H444" s="12">
        <v>207</v>
      </c>
      <c r="I444" s="12">
        <v>163</v>
      </c>
      <c r="J444" s="12">
        <v>125</v>
      </c>
      <c r="K444" s="12">
        <v>94.2</v>
      </c>
      <c r="L444" s="12">
        <v>71</v>
      </c>
      <c r="M444" s="12">
        <v>55.3</v>
      </c>
      <c r="N444" s="12">
        <v>44.6</v>
      </c>
      <c r="O444" s="12">
        <v>38.799999999999997</v>
      </c>
      <c r="P444" s="12">
        <v>25.9</v>
      </c>
    </row>
    <row r="445" spans="1:16" x14ac:dyDescent="0.15">
      <c r="A445" s="9">
        <v>1.7</v>
      </c>
      <c r="B445" s="12">
        <v>625</v>
      </c>
      <c r="C445" s="12">
        <v>510</v>
      </c>
      <c r="D445" s="12">
        <v>431</v>
      </c>
      <c r="E445" s="12">
        <v>363</v>
      </c>
      <c r="F445" s="12">
        <v>316</v>
      </c>
      <c r="G445" s="12">
        <v>278</v>
      </c>
      <c r="H445" s="12">
        <v>204</v>
      </c>
      <c r="I445" s="12">
        <v>159</v>
      </c>
      <c r="J445" s="12">
        <v>123</v>
      </c>
      <c r="K445" s="12">
        <v>92.6</v>
      </c>
      <c r="L445" s="12">
        <v>70</v>
      </c>
      <c r="M445" s="12">
        <v>54.3</v>
      </c>
      <c r="N445" s="12">
        <v>44</v>
      </c>
      <c r="O445" s="12">
        <v>38.200000000000003</v>
      </c>
      <c r="P445" s="12">
        <v>25.6</v>
      </c>
    </row>
    <row r="446" spans="1:16" x14ac:dyDescent="0.15">
      <c r="A446" s="9">
        <v>1.75</v>
      </c>
      <c r="B446" s="12">
        <v>605</v>
      </c>
      <c r="C446" s="12">
        <v>495</v>
      </c>
      <c r="D446" s="12">
        <v>419</v>
      </c>
      <c r="E446" s="12">
        <v>349</v>
      </c>
      <c r="F446" s="12">
        <v>305</v>
      </c>
      <c r="G446" s="12">
        <v>268</v>
      </c>
      <c r="H446" s="12">
        <v>198</v>
      </c>
      <c r="I446" s="12">
        <v>154</v>
      </c>
      <c r="J446" s="12">
        <v>120</v>
      </c>
      <c r="K446" s="12">
        <v>90.7</v>
      </c>
      <c r="L446" s="12">
        <v>67.8</v>
      </c>
      <c r="M446" s="12">
        <v>52.6</v>
      </c>
      <c r="N446" s="12">
        <v>43</v>
      </c>
      <c r="O446" s="12">
        <v>37.5</v>
      </c>
      <c r="P446" s="12">
        <v>25.2</v>
      </c>
    </row>
    <row r="447" spans="1:16" x14ac:dyDescent="0.15">
      <c r="A447" s="9">
        <v>1.8</v>
      </c>
      <c r="B447" s="12">
        <v>585</v>
      </c>
      <c r="C447" s="12">
        <v>475</v>
      </c>
      <c r="D447" s="12">
        <v>402</v>
      </c>
      <c r="E447" s="12">
        <v>337</v>
      </c>
      <c r="F447" s="12">
        <v>294</v>
      </c>
      <c r="G447" s="12">
        <v>256</v>
      </c>
      <c r="H447" s="12">
        <v>190</v>
      </c>
      <c r="I447" s="12">
        <v>148</v>
      </c>
      <c r="J447" s="12">
        <v>115</v>
      </c>
      <c r="K447" s="12">
        <v>87.6</v>
      </c>
      <c r="L447" s="12">
        <v>65.7</v>
      </c>
      <c r="M447" s="12">
        <v>51.1</v>
      </c>
      <c r="N447" s="12">
        <v>41.9</v>
      </c>
      <c r="O447" s="12">
        <v>36.6</v>
      </c>
      <c r="P447" s="12">
        <v>24.7</v>
      </c>
    </row>
    <row r="448" spans="1:16" s="35" customFormat="1" x14ac:dyDescent="0.15">
      <c r="A448" s="33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</row>
    <row r="449" spans="1:16" x14ac:dyDescent="0.15">
      <c r="A449" s="30" t="s">
        <v>231</v>
      </c>
      <c r="B449" s="30" t="s">
        <v>197</v>
      </c>
      <c r="C449" s="30" t="s">
        <v>156</v>
      </c>
      <c r="D449" s="30" t="s">
        <v>157</v>
      </c>
      <c r="E449" s="30" t="s">
        <v>158</v>
      </c>
      <c r="F449" s="30" t="s">
        <v>223</v>
      </c>
      <c r="G449" s="30" t="s">
        <v>159</v>
      </c>
      <c r="H449" s="30" t="s">
        <v>160</v>
      </c>
      <c r="I449" s="30" t="s">
        <v>198</v>
      </c>
      <c r="J449" s="30" t="s">
        <v>199</v>
      </c>
      <c r="K449" s="30" t="s">
        <v>200</v>
      </c>
      <c r="L449" s="30" t="s">
        <v>201</v>
      </c>
      <c r="M449" s="30" t="s">
        <v>202</v>
      </c>
      <c r="N449" s="30" t="s">
        <v>203</v>
      </c>
      <c r="O449" s="30" t="s">
        <v>204</v>
      </c>
      <c r="P449" s="30" t="s">
        <v>205</v>
      </c>
    </row>
    <row r="450" spans="1:16" x14ac:dyDescent="0.15">
      <c r="A450" s="9">
        <v>1.6</v>
      </c>
      <c r="B450" s="12">
        <v>770</v>
      </c>
      <c r="C450" s="12">
        <v>642</v>
      </c>
      <c r="D450" s="12">
        <v>524</v>
      </c>
      <c r="E450" s="12">
        <v>426</v>
      </c>
      <c r="F450" s="12">
        <v>367</v>
      </c>
      <c r="G450" s="12">
        <v>338</v>
      </c>
      <c r="H450" s="12">
        <v>237</v>
      </c>
      <c r="I450" s="12">
        <v>199</v>
      </c>
      <c r="J450" s="12">
        <v>149</v>
      </c>
      <c r="K450" s="12">
        <v>113</v>
      </c>
      <c r="L450" s="12">
        <v>77.3</v>
      </c>
      <c r="M450" s="12">
        <v>61.5</v>
      </c>
      <c r="N450" s="12">
        <v>52.4</v>
      </c>
      <c r="O450" s="12">
        <v>45.9</v>
      </c>
      <c r="P450" s="12">
        <v>28.8</v>
      </c>
    </row>
    <row r="451" spans="1:16" x14ac:dyDescent="0.15">
      <c r="A451" s="9">
        <v>1.65</v>
      </c>
      <c r="B451" s="12">
        <v>731</v>
      </c>
      <c r="C451" s="12">
        <v>615</v>
      </c>
      <c r="D451" s="12">
        <v>510</v>
      </c>
      <c r="E451" s="12">
        <v>413</v>
      </c>
      <c r="F451" s="12">
        <v>360</v>
      </c>
      <c r="G451" s="12">
        <v>331</v>
      </c>
      <c r="H451" s="12">
        <v>232</v>
      </c>
      <c r="I451" s="12">
        <v>193</v>
      </c>
      <c r="J451" s="12">
        <v>144</v>
      </c>
      <c r="K451" s="12">
        <v>110</v>
      </c>
      <c r="L451" s="12">
        <v>75</v>
      </c>
      <c r="M451" s="12">
        <v>60.5</v>
      </c>
      <c r="N451" s="12">
        <v>52.1</v>
      </c>
      <c r="O451" s="12">
        <v>45.2</v>
      </c>
      <c r="P451" s="12">
        <v>28.4</v>
      </c>
    </row>
    <row r="452" spans="1:16" x14ac:dyDescent="0.15">
      <c r="A452" s="9">
        <v>1.67</v>
      </c>
      <c r="B452" s="12">
        <v>712</v>
      </c>
      <c r="C452" s="12">
        <v>592</v>
      </c>
      <c r="D452" s="12">
        <v>490</v>
      </c>
      <c r="E452" s="12">
        <v>399</v>
      </c>
      <c r="F452" s="12">
        <v>353</v>
      </c>
      <c r="G452" s="12">
        <v>325</v>
      </c>
      <c r="H452" s="12">
        <v>227</v>
      </c>
      <c r="I452" s="12">
        <v>189</v>
      </c>
      <c r="J452" s="12">
        <v>140</v>
      </c>
      <c r="K452" s="12">
        <v>107</v>
      </c>
      <c r="L452" s="12">
        <v>73.5</v>
      </c>
      <c r="M452" s="12">
        <v>59.6</v>
      </c>
      <c r="N452" s="12">
        <v>50.3</v>
      </c>
      <c r="O452" s="12">
        <v>44.1</v>
      </c>
      <c r="P452" s="12">
        <v>27.8</v>
      </c>
    </row>
    <row r="453" spans="1:16" x14ac:dyDescent="0.15">
      <c r="A453" s="9">
        <v>1.7</v>
      </c>
      <c r="B453" s="12">
        <v>691</v>
      </c>
      <c r="C453" s="12">
        <v>570</v>
      </c>
      <c r="D453" s="12">
        <v>474</v>
      </c>
      <c r="E453" s="12">
        <v>384</v>
      </c>
      <c r="F453" s="12">
        <v>340</v>
      </c>
      <c r="G453" s="12">
        <v>317</v>
      </c>
      <c r="H453" s="12">
        <v>223</v>
      </c>
      <c r="I453" s="12">
        <v>186</v>
      </c>
      <c r="J453" s="12">
        <v>137</v>
      </c>
      <c r="K453" s="12">
        <v>106</v>
      </c>
      <c r="L453" s="12">
        <v>71.900000000000006</v>
      </c>
      <c r="M453" s="12">
        <v>58.9</v>
      </c>
      <c r="N453" s="12">
        <v>49.8</v>
      </c>
      <c r="O453" s="12">
        <v>43.7</v>
      </c>
      <c r="P453" s="12">
        <v>27.4</v>
      </c>
    </row>
    <row r="454" spans="1:16" x14ac:dyDescent="0.15">
      <c r="A454" s="9">
        <v>1.75</v>
      </c>
      <c r="B454" s="12">
        <v>667</v>
      </c>
      <c r="C454" s="12">
        <v>546</v>
      </c>
      <c r="D454" s="12">
        <v>457</v>
      </c>
      <c r="E454" s="12">
        <v>370</v>
      </c>
      <c r="F454" s="12">
        <v>329</v>
      </c>
      <c r="G454" s="12">
        <v>308</v>
      </c>
      <c r="H454" s="12">
        <v>219</v>
      </c>
      <c r="I454" s="12">
        <v>180</v>
      </c>
      <c r="J454" s="12">
        <v>133</v>
      </c>
      <c r="K454" s="12">
        <v>104</v>
      </c>
      <c r="L454" s="12">
        <v>70.7</v>
      </c>
      <c r="M454" s="12">
        <v>58.2</v>
      </c>
      <c r="N454" s="12">
        <v>48.9</v>
      </c>
      <c r="O454" s="12">
        <v>42.7</v>
      </c>
      <c r="P454" s="12">
        <v>26.9</v>
      </c>
    </row>
    <row r="455" spans="1:16" x14ac:dyDescent="0.15">
      <c r="A455" s="9">
        <v>1.8</v>
      </c>
      <c r="B455" s="12">
        <v>642</v>
      </c>
      <c r="C455" s="12">
        <v>520</v>
      </c>
      <c r="D455" s="12">
        <v>437</v>
      </c>
      <c r="E455" s="12">
        <v>354</v>
      </c>
      <c r="F455" s="12">
        <v>317</v>
      </c>
      <c r="G455" s="12">
        <v>296</v>
      </c>
      <c r="H455" s="12">
        <v>212</v>
      </c>
      <c r="I455" s="12">
        <v>173</v>
      </c>
      <c r="J455" s="12">
        <v>130</v>
      </c>
      <c r="K455" s="12">
        <v>101</v>
      </c>
      <c r="L455" s="12">
        <v>69.400000000000006</v>
      </c>
      <c r="M455" s="12">
        <v>56.8</v>
      </c>
      <c r="N455" s="12">
        <v>47.4</v>
      </c>
      <c r="O455" s="12">
        <v>41.6</v>
      </c>
      <c r="P455" s="12">
        <v>26.1</v>
      </c>
    </row>
    <row r="456" spans="1:16" s="35" customFormat="1" x14ac:dyDescent="0.15">
      <c r="A456" s="33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</row>
    <row r="457" spans="1:16" x14ac:dyDescent="0.15">
      <c r="A457" s="30" t="s">
        <v>232</v>
      </c>
      <c r="B457" s="30" t="s">
        <v>197</v>
      </c>
      <c r="C457" s="30" t="s">
        <v>156</v>
      </c>
      <c r="D457" s="30" t="s">
        <v>157</v>
      </c>
      <c r="E457" s="30" t="s">
        <v>158</v>
      </c>
      <c r="F457" s="30" t="s">
        <v>223</v>
      </c>
      <c r="G457" s="30" t="s">
        <v>159</v>
      </c>
      <c r="H457" s="30" t="s">
        <v>160</v>
      </c>
      <c r="I457" s="30" t="s">
        <v>198</v>
      </c>
      <c r="J457" s="30" t="s">
        <v>199</v>
      </c>
      <c r="K457" s="30" t="s">
        <v>200</v>
      </c>
      <c r="L457" s="30" t="s">
        <v>201</v>
      </c>
      <c r="M457" s="30" t="s">
        <v>202</v>
      </c>
      <c r="N457" s="30" t="s">
        <v>203</v>
      </c>
      <c r="O457" s="30" t="s">
        <v>204</v>
      </c>
      <c r="P457" s="30" t="s">
        <v>205</v>
      </c>
    </row>
    <row r="458" spans="1:16" x14ac:dyDescent="0.15">
      <c r="A458" s="9">
        <v>1.6</v>
      </c>
      <c r="B458" s="12">
        <v>798</v>
      </c>
      <c r="C458" s="12">
        <v>655</v>
      </c>
      <c r="D458" s="12">
        <v>535</v>
      </c>
      <c r="E458" s="12">
        <v>435</v>
      </c>
      <c r="F458" s="12">
        <v>375</v>
      </c>
      <c r="G458" s="12">
        <v>340</v>
      </c>
      <c r="H458" s="12">
        <v>242</v>
      </c>
      <c r="I458" s="12">
        <v>203</v>
      </c>
      <c r="J458" s="12">
        <v>152</v>
      </c>
      <c r="K458" s="12">
        <v>115</v>
      </c>
      <c r="L458" s="12">
        <v>78.900000000000006</v>
      </c>
      <c r="M458" s="12">
        <v>62.8</v>
      </c>
      <c r="N458" s="12">
        <v>53.5</v>
      </c>
      <c r="O458" s="12">
        <v>46.9</v>
      </c>
      <c r="P458" s="12">
        <v>29.4</v>
      </c>
    </row>
    <row r="459" spans="1:16" x14ac:dyDescent="0.15">
      <c r="A459" s="9">
        <v>1.65</v>
      </c>
      <c r="B459" s="12">
        <v>757</v>
      </c>
      <c r="C459" s="12">
        <v>627</v>
      </c>
      <c r="D459" s="12">
        <v>520</v>
      </c>
      <c r="E459" s="12">
        <v>422</v>
      </c>
      <c r="F459" s="12">
        <v>368</v>
      </c>
      <c r="G459" s="12">
        <v>333</v>
      </c>
      <c r="H459" s="12">
        <v>236</v>
      </c>
      <c r="I459" s="12">
        <v>197</v>
      </c>
      <c r="J459" s="12">
        <v>147</v>
      </c>
      <c r="K459" s="12">
        <v>112</v>
      </c>
      <c r="L459" s="12">
        <v>76.599999999999994</v>
      </c>
      <c r="M459" s="12">
        <v>61.7</v>
      </c>
      <c r="N459" s="12">
        <v>52.6</v>
      </c>
      <c r="O459" s="12">
        <v>46.1</v>
      </c>
      <c r="P459" s="12">
        <v>28.7</v>
      </c>
    </row>
    <row r="460" spans="1:16" x14ac:dyDescent="0.15">
      <c r="A460" s="9">
        <v>1.67</v>
      </c>
      <c r="B460" s="12">
        <v>738</v>
      </c>
      <c r="C460" s="12">
        <v>604</v>
      </c>
      <c r="D460" s="12">
        <v>500</v>
      </c>
      <c r="E460" s="12">
        <v>407</v>
      </c>
      <c r="F460" s="12">
        <v>360</v>
      </c>
      <c r="G460" s="12">
        <v>327</v>
      </c>
      <c r="H460" s="12">
        <v>232</v>
      </c>
      <c r="I460" s="12">
        <v>193</v>
      </c>
      <c r="J460" s="12">
        <v>142</v>
      </c>
      <c r="K460" s="12">
        <v>109</v>
      </c>
      <c r="L460" s="12">
        <v>75</v>
      </c>
      <c r="M460" s="12">
        <v>60.9</v>
      </c>
      <c r="N460" s="12">
        <v>51.3</v>
      </c>
      <c r="O460" s="12">
        <v>45</v>
      </c>
      <c r="P460" s="12">
        <v>28.5</v>
      </c>
    </row>
    <row r="461" spans="1:16" x14ac:dyDescent="0.15">
      <c r="A461" s="9">
        <v>1.7</v>
      </c>
      <c r="B461" s="12">
        <v>716</v>
      </c>
      <c r="C461" s="12">
        <v>581</v>
      </c>
      <c r="D461" s="12">
        <v>489</v>
      </c>
      <c r="E461" s="12">
        <v>392</v>
      </c>
      <c r="F461" s="12">
        <v>347</v>
      </c>
      <c r="G461" s="12">
        <v>319</v>
      </c>
      <c r="H461" s="12">
        <v>228</v>
      </c>
      <c r="I461" s="12">
        <v>190</v>
      </c>
      <c r="J461" s="12">
        <v>140</v>
      </c>
      <c r="K461" s="12">
        <v>108</v>
      </c>
      <c r="L461" s="12">
        <v>73.400000000000006</v>
      </c>
      <c r="M461" s="12">
        <v>60.1</v>
      </c>
      <c r="N461" s="12">
        <v>50.8</v>
      </c>
      <c r="O461" s="12">
        <v>44.6</v>
      </c>
      <c r="P461" s="12">
        <v>28.2</v>
      </c>
    </row>
    <row r="462" spans="1:16" x14ac:dyDescent="0.15">
      <c r="A462" s="9">
        <v>1.75</v>
      </c>
      <c r="B462" s="12">
        <v>692</v>
      </c>
      <c r="C462" s="12">
        <v>558</v>
      </c>
      <c r="D462" s="12">
        <v>467</v>
      </c>
      <c r="E462" s="12">
        <v>377</v>
      </c>
      <c r="F462" s="12">
        <v>336</v>
      </c>
      <c r="G462" s="12">
        <v>310</v>
      </c>
      <c r="H462" s="12">
        <v>223</v>
      </c>
      <c r="I462" s="12">
        <v>184</v>
      </c>
      <c r="J462" s="12">
        <v>136</v>
      </c>
      <c r="K462" s="12">
        <v>106</v>
      </c>
      <c r="L462" s="12">
        <v>72.099999999999994</v>
      </c>
      <c r="M462" s="12">
        <v>59.4</v>
      </c>
      <c r="N462" s="12">
        <v>49.9</v>
      </c>
      <c r="O462" s="12">
        <v>43.6</v>
      </c>
      <c r="P462" s="12">
        <v>27.8</v>
      </c>
    </row>
    <row r="463" spans="1:16" x14ac:dyDescent="0.15">
      <c r="A463" s="9">
        <v>1.8</v>
      </c>
      <c r="B463" s="12">
        <v>665</v>
      </c>
      <c r="C463" s="12">
        <v>531</v>
      </c>
      <c r="D463" s="12">
        <v>446</v>
      </c>
      <c r="E463" s="12">
        <v>362</v>
      </c>
      <c r="F463" s="12">
        <v>324</v>
      </c>
      <c r="G463" s="12">
        <v>297</v>
      </c>
      <c r="H463" s="12">
        <v>216</v>
      </c>
      <c r="I463" s="12">
        <v>176</v>
      </c>
      <c r="J463" s="12">
        <v>132</v>
      </c>
      <c r="K463" s="12">
        <v>103</v>
      </c>
      <c r="L463" s="12">
        <v>70.8</v>
      </c>
      <c r="M463" s="12">
        <v>58</v>
      </c>
      <c r="N463" s="12">
        <v>48.4</v>
      </c>
      <c r="O463" s="12">
        <v>42.5</v>
      </c>
      <c r="P463" s="12">
        <v>26.9</v>
      </c>
    </row>
    <row r="464" spans="1:16" s="35" customFormat="1" x14ac:dyDescent="0.15">
      <c r="A464" s="33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</row>
    <row r="465" spans="1:16" x14ac:dyDescent="0.15">
      <c r="A465" s="30" t="s">
        <v>233</v>
      </c>
      <c r="B465" s="30" t="s">
        <v>197</v>
      </c>
      <c r="C465" s="30" t="s">
        <v>156</v>
      </c>
      <c r="D465" s="30" t="s">
        <v>157</v>
      </c>
      <c r="E465" s="30" t="s">
        <v>158</v>
      </c>
      <c r="F465" s="30" t="s">
        <v>223</v>
      </c>
      <c r="G465" s="30" t="s">
        <v>159</v>
      </c>
      <c r="H465" s="30" t="s">
        <v>160</v>
      </c>
      <c r="I465" s="30" t="s">
        <v>198</v>
      </c>
      <c r="J465" s="30" t="s">
        <v>199</v>
      </c>
      <c r="K465" s="30" t="s">
        <v>200</v>
      </c>
      <c r="L465" s="30" t="s">
        <v>201</v>
      </c>
      <c r="M465" s="30" t="s">
        <v>202</v>
      </c>
      <c r="N465" s="30" t="s">
        <v>203</v>
      </c>
      <c r="O465" s="30" t="s">
        <v>204</v>
      </c>
      <c r="P465" s="30" t="s">
        <v>205</v>
      </c>
    </row>
    <row r="466" spans="1:16" x14ac:dyDescent="0.15">
      <c r="A466" s="9">
        <v>1.6</v>
      </c>
      <c r="B466" s="12">
        <v>898</v>
      </c>
      <c r="C466" s="12">
        <v>715</v>
      </c>
      <c r="D466" s="12">
        <v>602</v>
      </c>
      <c r="E466" s="12">
        <v>479</v>
      </c>
      <c r="F466" s="12">
        <v>413</v>
      </c>
      <c r="G466" s="12">
        <v>375</v>
      </c>
      <c r="H466" s="12">
        <v>269</v>
      </c>
      <c r="I466" s="12">
        <v>219</v>
      </c>
      <c r="J466" s="12">
        <v>164</v>
      </c>
      <c r="K466" s="12">
        <v>124</v>
      </c>
      <c r="L466" s="12">
        <v>85.4</v>
      </c>
      <c r="M466" s="12">
        <v>67.900000000000006</v>
      </c>
      <c r="N466" s="12">
        <v>57.9</v>
      </c>
      <c r="O466" s="12">
        <v>50.7</v>
      </c>
      <c r="P466" s="12">
        <v>31.8</v>
      </c>
    </row>
    <row r="467" spans="1:16" x14ac:dyDescent="0.15">
      <c r="A467" s="9">
        <v>1.65</v>
      </c>
      <c r="B467" s="12">
        <v>852</v>
      </c>
      <c r="C467" s="12">
        <v>685</v>
      </c>
      <c r="D467" s="12">
        <v>585</v>
      </c>
      <c r="E467" s="12">
        <v>465</v>
      </c>
      <c r="F467" s="12">
        <v>405</v>
      </c>
      <c r="G467" s="12">
        <v>367</v>
      </c>
      <c r="H467" s="12">
        <v>263</v>
      </c>
      <c r="I467" s="12">
        <v>213</v>
      </c>
      <c r="J467" s="12">
        <v>159</v>
      </c>
      <c r="K467" s="12">
        <v>121</v>
      </c>
      <c r="L467" s="12">
        <v>82.8</v>
      </c>
      <c r="M467" s="12">
        <v>66.7</v>
      </c>
      <c r="N467" s="12">
        <v>56.9</v>
      </c>
      <c r="O467" s="12">
        <v>49.9</v>
      </c>
      <c r="P467" s="12">
        <v>31.1</v>
      </c>
    </row>
    <row r="468" spans="1:16" x14ac:dyDescent="0.15">
      <c r="A468" s="9">
        <v>1.67</v>
      </c>
      <c r="B468" s="12">
        <v>830</v>
      </c>
      <c r="C468" s="12">
        <v>660</v>
      </c>
      <c r="D468" s="12">
        <v>570</v>
      </c>
      <c r="E468" s="12">
        <v>449</v>
      </c>
      <c r="F468" s="12">
        <v>397</v>
      </c>
      <c r="G468" s="12">
        <v>360</v>
      </c>
      <c r="H468" s="12">
        <v>258</v>
      </c>
      <c r="I468" s="12">
        <v>209</v>
      </c>
      <c r="J468" s="12">
        <v>154</v>
      </c>
      <c r="K468" s="12">
        <v>118</v>
      </c>
      <c r="L468" s="12">
        <v>81.099999999999994</v>
      </c>
      <c r="M468" s="12">
        <v>65.8</v>
      </c>
      <c r="N468" s="12">
        <v>55.5</v>
      </c>
      <c r="O468" s="12">
        <v>48.7</v>
      </c>
      <c r="P468" s="12">
        <v>30.9</v>
      </c>
    </row>
    <row r="469" spans="1:16" x14ac:dyDescent="0.15">
      <c r="A469" s="9">
        <v>1.7</v>
      </c>
      <c r="B469" s="12">
        <v>805</v>
      </c>
      <c r="C469" s="12">
        <v>635</v>
      </c>
      <c r="D469" s="12">
        <v>550</v>
      </c>
      <c r="E469" s="12">
        <v>432</v>
      </c>
      <c r="F469" s="12">
        <v>383</v>
      </c>
      <c r="G469" s="12">
        <v>352</v>
      </c>
      <c r="H469" s="12">
        <v>253</v>
      </c>
      <c r="I469" s="12">
        <v>205</v>
      </c>
      <c r="J469" s="12">
        <v>151</v>
      </c>
      <c r="K469" s="12">
        <v>117</v>
      </c>
      <c r="L469" s="12">
        <v>79.400000000000006</v>
      </c>
      <c r="M469" s="12">
        <v>65</v>
      </c>
      <c r="N469" s="12">
        <v>54.9</v>
      </c>
      <c r="O469" s="12">
        <v>48.3</v>
      </c>
      <c r="P469" s="12">
        <v>30.6</v>
      </c>
    </row>
    <row r="470" spans="1:16" x14ac:dyDescent="0.15">
      <c r="A470" s="9">
        <v>1.75</v>
      </c>
      <c r="B470" s="12">
        <v>778</v>
      </c>
      <c r="C470" s="12">
        <v>609</v>
      </c>
      <c r="D470" s="12">
        <v>525</v>
      </c>
      <c r="E470" s="12">
        <v>416</v>
      </c>
      <c r="F470" s="12">
        <v>371</v>
      </c>
      <c r="G470" s="12">
        <v>342</v>
      </c>
      <c r="H470" s="12">
        <v>248</v>
      </c>
      <c r="I470" s="12">
        <v>199</v>
      </c>
      <c r="J470" s="12">
        <v>147</v>
      </c>
      <c r="K470" s="12">
        <v>114</v>
      </c>
      <c r="L470" s="12">
        <v>78</v>
      </c>
      <c r="M470" s="12">
        <v>64.2</v>
      </c>
      <c r="N470" s="12">
        <v>54</v>
      </c>
      <c r="O470" s="12">
        <v>47.2</v>
      </c>
      <c r="P470" s="12">
        <v>30</v>
      </c>
    </row>
    <row r="471" spans="1:16" x14ac:dyDescent="0.15">
      <c r="A471" s="9">
        <v>1.8</v>
      </c>
      <c r="B471" s="12">
        <v>748</v>
      </c>
      <c r="C471" s="12">
        <v>580</v>
      </c>
      <c r="D471" s="12">
        <v>502</v>
      </c>
      <c r="E471" s="12">
        <v>399</v>
      </c>
      <c r="F471" s="12">
        <v>357</v>
      </c>
      <c r="G471" s="12">
        <v>328</v>
      </c>
      <c r="H471" s="12">
        <v>241</v>
      </c>
      <c r="I471" s="12">
        <v>191</v>
      </c>
      <c r="J471" s="12">
        <v>143</v>
      </c>
      <c r="K471" s="12">
        <v>111</v>
      </c>
      <c r="L471" s="12">
        <v>76.599999999999994</v>
      </c>
      <c r="M471" s="12">
        <v>62.7</v>
      </c>
      <c r="N471" s="12">
        <v>52.3</v>
      </c>
      <c r="O471" s="12">
        <v>46</v>
      </c>
      <c r="P471" s="12">
        <v>29.1</v>
      </c>
    </row>
    <row r="472" spans="1:16" s="35" customFormat="1" x14ac:dyDescent="0.15">
      <c r="A472" s="33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</row>
    <row r="473" spans="1:16" x14ac:dyDescent="0.15">
      <c r="A473" s="30" t="s">
        <v>234</v>
      </c>
      <c r="B473" s="30" t="s">
        <v>197</v>
      </c>
      <c r="C473" s="30" t="s">
        <v>156</v>
      </c>
      <c r="D473" s="30" t="s">
        <v>157</v>
      </c>
      <c r="E473" s="30" t="s">
        <v>158</v>
      </c>
      <c r="F473" s="30" t="s">
        <v>223</v>
      </c>
      <c r="G473" s="30" t="s">
        <v>159</v>
      </c>
      <c r="H473" s="30" t="s">
        <v>160</v>
      </c>
      <c r="I473" s="30" t="s">
        <v>198</v>
      </c>
      <c r="J473" s="30" t="s">
        <v>199</v>
      </c>
      <c r="K473" s="30" t="s">
        <v>200</v>
      </c>
      <c r="L473" s="30" t="s">
        <v>201</v>
      </c>
      <c r="M473" s="30" t="s">
        <v>202</v>
      </c>
      <c r="N473" s="30" t="s">
        <v>203</v>
      </c>
      <c r="O473" s="30" t="s">
        <v>204</v>
      </c>
      <c r="P473" s="30" t="s">
        <v>205</v>
      </c>
    </row>
    <row r="474" spans="1:16" x14ac:dyDescent="0.15">
      <c r="A474" s="9">
        <v>1.6</v>
      </c>
      <c r="B474" s="12">
        <v>1043</v>
      </c>
      <c r="C474" s="12">
        <v>845</v>
      </c>
      <c r="D474" s="12">
        <v>695</v>
      </c>
      <c r="E474" s="12">
        <v>574</v>
      </c>
      <c r="F474" s="12">
        <v>495</v>
      </c>
      <c r="G474" s="12">
        <v>440</v>
      </c>
      <c r="H474" s="12">
        <v>318</v>
      </c>
      <c r="I474" s="12">
        <v>259</v>
      </c>
      <c r="J474" s="12">
        <v>194</v>
      </c>
      <c r="K474" s="12">
        <v>147</v>
      </c>
      <c r="L474" s="12">
        <v>101</v>
      </c>
      <c r="M474" s="12">
        <v>80.3</v>
      </c>
      <c r="N474" s="12">
        <v>68.400000000000006</v>
      </c>
      <c r="O474" s="12">
        <v>59.9</v>
      </c>
      <c r="P474" s="12">
        <v>37.6</v>
      </c>
    </row>
    <row r="475" spans="1:16" x14ac:dyDescent="0.15">
      <c r="A475" s="9">
        <v>1.65</v>
      </c>
      <c r="B475" s="12">
        <v>989</v>
      </c>
      <c r="C475" s="12">
        <v>810</v>
      </c>
      <c r="D475" s="12">
        <v>675</v>
      </c>
      <c r="E475" s="12">
        <v>557</v>
      </c>
      <c r="F475" s="12">
        <v>486</v>
      </c>
      <c r="G475" s="12">
        <v>431</v>
      </c>
      <c r="H475" s="12">
        <v>311</v>
      </c>
      <c r="I475" s="12">
        <v>252</v>
      </c>
      <c r="J475" s="12">
        <v>188</v>
      </c>
      <c r="K475" s="12">
        <v>143</v>
      </c>
      <c r="L475" s="12">
        <v>97.9</v>
      </c>
      <c r="M475" s="12">
        <v>78.900000000000006</v>
      </c>
      <c r="N475" s="12">
        <v>67.2</v>
      </c>
      <c r="O475" s="12">
        <v>59</v>
      </c>
      <c r="P475" s="12">
        <v>36.700000000000003</v>
      </c>
    </row>
    <row r="476" spans="1:16" x14ac:dyDescent="0.15">
      <c r="A476" s="9">
        <v>1.67</v>
      </c>
      <c r="B476" s="12">
        <v>964</v>
      </c>
      <c r="C476" s="12">
        <v>780</v>
      </c>
      <c r="D476" s="12">
        <v>660</v>
      </c>
      <c r="E476" s="12">
        <v>538</v>
      </c>
      <c r="F476" s="12">
        <v>476</v>
      </c>
      <c r="G476" s="12">
        <v>423</v>
      </c>
      <c r="H476" s="12">
        <v>305</v>
      </c>
      <c r="I476" s="12">
        <v>247</v>
      </c>
      <c r="J476" s="12">
        <v>182</v>
      </c>
      <c r="K476" s="12">
        <v>140</v>
      </c>
      <c r="L476" s="12">
        <v>95.9</v>
      </c>
      <c r="M476" s="12">
        <v>77.8</v>
      </c>
      <c r="N476" s="12">
        <v>65.599999999999994</v>
      </c>
      <c r="O476" s="12">
        <v>57.5</v>
      </c>
      <c r="P476" s="12">
        <v>36.5</v>
      </c>
    </row>
    <row r="477" spans="1:16" x14ac:dyDescent="0.15">
      <c r="A477" s="9">
        <v>1.7</v>
      </c>
      <c r="B477" s="12">
        <v>935</v>
      </c>
      <c r="C477" s="12">
        <v>750</v>
      </c>
      <c r="D477" s="12">
        <v>640</v>
      </c>
      <c r="E477" s="12">
        <v>518</v>
      </c>
      <c r="F477" s="12">
        <v>459</v>
      </c>
      <c r="G477" s="12">
        <v>413</v>
      </c>
      <c r="H477" s="12">
        <v>300</v>
      </c>
      <c r="I477" s="12">
        <v>242</v>
      </c>
      <c r="J477" s="12">
        <v>178</v>
      </c>
      <c r="K477" s="12">
        <v>138</v>
      </c>
      <c r="L477" s="12">
        <v>93.8</v>
      </c>
      <c r="M477" s="12">
        <v>76.8</v>
      </c>
      <c r="N477" s="12">
        <v>64.900000000000006</v>
      </c>
      <c r="O477" s="12">
        <v>57.1</v>
      </c>
      <c r="P477" s="12">
        <v>36.1</v>
      </c>
    </row>
    <row r="478" spans="1:16" x14ac:dyDescent="0.15">
      <c r="A478" s="9">
        <v>1.75</v>
      </c>
      <c r="B478" s="12">
        <v>903</v>
      </c>
      <c r="C478" s="12">
        <v>720</v>
      </c>
      <c r="D478" s="12">
        <v>609</v>
      </c>
      <c r="E478" s="12">
        <v>498</v>
      </c>
      <c r="F478" s="12">
        <v>444</v>
      </c>
      <c r="G478" s="12">
        <v>401</v>
      </c>
      <c r="H478" s="12">
        <v>296</v>
      </c>
      <c r="I478" s="12">
        <v>235</v>
      </c>
      <c r="J478" s="12">
        <v>174</v>
      </c>
      <c r="K478" s="12">
        <v>135</v>
      </c>
      <c r="L478" s="12">
        <v>92.2</v>
      </c>
      <c r="M478" s="12">
        <v>75.900000000000006</v>
      </c>
      <c r="N478" s="12">
        <v>63.8</v>
      </c>
      <c r="O478" s="12">
        <v>55.7</v>
      </c>
      <c r="P478" s="12">
        <v>35.5</v>
      </c>
    </row>
    <row r="479" spans="1:16" x14ac:dyDescent="0.15">
      <c r="A479" s="9">
        <v>1.8</v>
      </c>
      <c r="B479" s="12">
        <v>869</v>
      </c>
      <c r="C479" s="12">
        <v>685</v>
      </c>
      <c r="D479" s="12">
        <v>587</v>
      </c>
      <c r="E479" s="12">
        <v>478</v>
      </c>
      <c r="F479" s="12">
        <v>428</v>
      </c>
      <c r="G479" s="12">
        <v>385</v>
      </c>
      <c r="H479" s="12">
        <v>284</v>
      </c>
      <c r="I479" s="12">
        <v>225</v>
      </c>
      <c r="J479" s="12">
        <v>169</v>
      </c>
      <c r="K479" s="12">
        <v>131</v>
      </c>
      <c r="L479" s="12">
        <v>90.5</v>
      </c>
      <c r="M479" s="12">
        <v>74.099999999999994</v>
      </c>
      <c r="N479" s="12">
        <v>61.8</v>
      </c>
      <c r="O479" s="12">
        <v>54.3</v>
      </c>
      <c r="P479" s="12">
        <v>34.4</v>
      </c>
    </row>
    <row r="480" spans="1:16" s="35" customFormat="1" x14ac:dyDescent="0.15">
      <c r="A480" s="33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</row>
    <row r="481" spans="1:16" x14ac:dyDescent="0.15">
      <c r="A481" s="30" t="s">
        <v>235</v>
      </c>
      <c r="B481" s="30" t="s">
        <v>197</v>
      </c>
      <c r="C481" s="30" t="s">
        <v>156</v>
      </c>
      <c r="D481" s="30" t="s">
        <v>157</v>
      </c>
      <c r="E481" s="30" t="s">
        <v>158</v>
      </c>
      <c r="F481" s="30" t="s">
        <v>223</v>
      </c>
      <c r="G481" s="30" t="s">
        <v>159</v>
      </c>
      <c r="H481" s="30" t="s">
        <v>160</v>
      </c>
      <c r="I481" s="30" t="s">
        <v>198</v>
      </c>
      <c r="J481" s="30" t="s">
        <v>199</v>
      </c>
      <c r="K481" s="30" t="s">
        <v>200</v>
      </c>
      <c r="L481" s="30" t="s">
        <v>201</v>
      </c>
      <c r="M481" s="30" t="s">
        <v>202</v>
      </c>
      <c r="N481" s="30" t="s">
        <v>203</v>
      </c>
      <c r="O481" s="30" t="s">
        <v>204</v>
      </c>
      <c r="P481" s="30" t="s">
        <v>205</v>
      </c>
    </row>
    <row r="482" spans="1:16" x14ac:dyDescent="0.15">
      <c r="A482" s="9">
        <v>1.6</v>
      </c>
      <c r="B482" s="12">
        <v>1206</v>
      </c>
      <c r="C482" s="12">
        <v>1002</v>
      </c>
      <c r="D482" s="12">
        <v>814</v>
      </c>
      <c r="E482" s="12">
        <v>679</v>
      </c>
      <c r="F482" s="12">
        <v>573</v>
      </c>
      <c r="G482" s="12">
        <v>509</v>
      </c>
      <c r="H482" s="12">
        <v>370</v>
      </c>
      <c r="I482" s="12">
        <v>304</v>
      </c>
      <c r="J482" s="12">
        <v>227</v>
      </c>
      <c r="K482" s="12">
        <v>180</v>
      </c>
      <c r="L482" s="12">
        <v>123</v>
      </c>
      <c r="M482" s="12">
        <v>98.1</v>
      </c>
      <c r="N482" s="12">
        <v>83.6</v>
      </c>
      <c r="O482" s="12">
        <v>71.3</v>
      </c>
      <c r="P482" s="12">
        <v>44.1</v>
      </c>
    </row>
    <row r="483" spans="1:16" x14ac:dyDescent="0.15">
      <c r="A483" s="9">
        <v>1.65</v>
      </c>
      <c r="B483" s="12">
        <v>1145</v>
      </c>
      <c r="C483" s="12">
        <v>960</v>
      </c>
      <c r="D483" s="12">
        <v>790</v>
      </c>
      <c r="E483" s="12">
        <v>658</v>
      </c>
      <c r="F483" s="12">
        <v>562</v>
      </c>
      <c r="G483" s="12">
        <v>499</v>
      </c>
      <c r="H483" s="12">
        <v>361</v>
      </c>
      <c r="I483" s="12">
        <v>296</v>
      </c>
      <c r="J483" s="12">
        <v>220</v>
      </c>
      <c r="K483" s="12">
        <v>175</v>
      </c>
      <c r="L483" s="12">
        <v>120</v>
      </c>
      <c r="M483" s="12">
        <v>96.4</v>
      </c>
      <c r="N483" s="12">
        <v>82.2</v>
      </c>
      <c r="O483" s="12">
        <v>69.900000000000006</v>
      </c>
      <c r="P483" s="12">
        <v>43.1</v>
      </c>
    </row>
    <row r="484" spans="1:16" x14ac:dyDescent="0.15">
      <c r="A484" s="9">
        <v>1.67</v>
      </c>
      <c r="B484" s="12">
        <v>1115</v>
      </c>
      <c r="C484" s="12">
        <v>925</v>
      </c>
      <c r="D484" s="12">
        <v>770</v>
      </c>
      <c r="E484" s="12">
        <v>635</v>
      </c>
      <c r="F484" s="12">
        <v>551</v>
      </c>
      <c r="G484" s="12">
        <v>489</v>
      </c>
      <c r="H484" s="12">
        <v>355</v>
      </c>
      <c r="I484" s="12">
        <v>290</v>
      </c>
      <c r="J484" s="12">
        <v>214</v>
      </c>
      <c r="K484" s="12">
        <v>171</v>
      </c>
      <c r="L484" s="12">
        <v>117</v>
      </c>
      <c r="M484" s="12">
        <v>95.1</v>
      </c>
      <c r="N484" s="12">
        <v>80.2</v>
      </c>
      <c r="O484" s="12">
        <v>69.099999999999994</v>
      </c>
      <c r="P484" s="12">
        <v>42.8</v>
      </c>
    </row>
    <row r="485" spans="1:16" x14ac:dyDescent="0.15">
      <c r="A485" s="9">
        <v>1.7</v>
      </c>
      <c r="B485" s="12">
        <v>1081</v>
      </c>
      <c r="C485" s="12">
        <v>890</v>
      </c>
      <c r="D485" s="12">
        <v>752</v>
      </c>
      <c r="E485" s="12">
        <v>612</v>
      </c>
      <c r="F485" s="12">
        <v>531</v>
      </c>
      <c r="G485" s="12">
        <v>478</v>
      </c>
      <c r="H485" s="12">
        <v>348</v>
      </c>
      <c r="I485" s="12">
        <v>284</v>
      </c>
      <c r="J485" s="12">
        <v>209</v>
      </c>
      <c r="K485" s="12">
        <v>168</v>
      </c>
      <c r="L485" s="12">
        <v>115</v>
      </c>
      <c r="M485" s="12">
        <v>93.9</v>
      </c>
      <c r="N485" s="12">
        <v>79.400000000000006</v>
      </c>
      <c r="O485" s="12">
        <v>67.900000000000006</v>
      </c>
      <c r="P485" s="12">
        <v>42.4</v>
      </c>
    </row>
    <row r="486" spans="1:16" x14ac:dyDescent="0.15">
      <c r="A486" s="9">
        <v>1.75</v>
      </c>
      <c r="B486" s="12">
        <v>1045</v>
      </c>
      <c r="C486" s="12">
        <v>853</v>
      </c>
      <c r="D486" s="12">
        <v>725</v>
      </c>
      <c r="E486" s="12">
        <v>589</v>
      </c>
      <c r="F486" s="12">
        <v>514</v>
      </c>
      <c r="G486" s="12">
        <v>464</v>
      </c>
      <c r="H486" s="12">
        <v>341</v>
      </c>
      <c r="I486" s="12">
        <v>276</v>
      </c>
      <c r="J486" s="12">
        <v>204</v>
      </c>
      <c r="K486" s="12">
        <v>165</v>
      </c>
      <c r="L486" s="12">
        <v>113</v>
      </c>
      <c r="M486" s="12">
        <v>92.8</v>
      </c>
      <c r="N486" s="12">
        <v>78</v>
      </c>
      <c r="O486" s="12">
        <v>66.8</v>
      </c>
      <c r="P486" s="12">
        <v>41.6</v>
      </c>
    </row>
    <row r="487" spans="1:16" x14ac:dyDescent="0.15">
      <c r="A487" s="9">
        <v>1.8</v>
      </c>
      <c r="B487" s="12">
        <v>1005</v>
      </c>
      <c r="C487" s="12">
        <v>813</v>
      </c>
      <c r="D487" s="12">
        <v>690</v>
      </c>
      <c r="E487" s="12">
        <v>565</v>
      </c>
      <c r="F487" s="12">
        <v>495</v>
      </c>
      <c r="G487" s="12">
        <v>445</v>
      </c>
      <c r="H487" s="12">
        <v>330</v>
      </c>
      <c r="I487" s="12">
        <v>264</v>
      </c>
      <c r="J487" s="12">
        <v>198</v>
      </c>
      <c r="K487" s="12">
        <v>161</v>
      </c>
      <c r="L487" s="12">
        <v>111</v>
      </c>
      <c r="M487" s="12">
        <v>90.6</v>
      </c>
      <c r="N487" s="12">
        <v>75.599999999999994</v>
      </c>
      <c r="O487" s="12">
        <v>64.900000000000006</v>
      </c>
      <c r="P487" s="12">
        <v>40.299999999999997</v>
      </c>
    </row>
    <row r="488" spans="1:16" s="35" customFormat="1" x14ac:dyDescent="0.15">
      <c r="A488" s="33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</row>
    <row r="489" spans="1:16" x14ac:dyDescent="0.15">
      <c r="A489" s="30" t="s">
        <v>250</v>
      </c>
      <c r="B489" s="30" t="s">
        <v>40</v>
      </c>
      <c r="C489" s="30" t="s">
        <v>198</v>
      </c>
      <c r="D489" s="30" t="s">
        <v>199</v>
      </c>
      <c r="E489" s="30" t="s">
        <v>200</v>
      </c>
      <c r="F489" s="30" t="s">
        <v>201</v>
      </c>
      <c r="G489" s="30" t="s">
        <v>202</v>
      </c>
      <c r="H489" s="30" t="s">
        <v>203</v>
      </c>
      <c r="I489" s="30" t="s">
        <v>81</v>
      </c>
      <c r="J489" s="30" t="s">
        <v>204</v>
      </c>
      <c r="K489" s="30" t="s">
        <v>75</v>
      </c>
      <c r="L489" s="30" t="s">
        <v>76</v>
      </c>
    </row>
    <row r="490" spans="1:16" x14ac:dyDescent="0.15">
      <c r="A490" s="9">
        <v>1.85</v>
      </c>
      <c r="B490" s="9">
        <v>149.80000000000001</v>
      </c>
      <c r="C490" s="9">
        <v>83.5</v>
      </c>
      <c r="D490" s="9">
        <v>63.7</v>
      </c>
      <c r="E490" s="9">
        <v>52.4</v>
      </c>
      <c r="F490" s="9">
        <v>40</v>
      </c>
      <c r="G490" s="9">
        <v>32.9</v>
      </c>
      <c r="H490" s="9">
        <v>30.1</v>
      </c>
      <c r="I490" s="9">
        <v>26.7</v>
      </c>
      <c r="J490" s="9">
        <v>19.8</v>
      </c>
      <c r="K490" s="9">
        <v>16.600000000000001</v>
      </c>
      <c r="L490" s="9">
        <v>8.6999999999999993</v>
      </c>
    </row>
    <row r="491" spans="1:16" x14ac:dyDescent="0.15">
      <c r="A491" s="9">
        <v>1.8</v>
      </c>
      <c r="B491" s="9">
        <v>166.9</v>
      </c>
      <c r="C491" s="9">
        <v>89.8</v>
      </c>
      <c r="D491" s="9">
        <v>68.599999999999994</v>
      </c>
      <c r="E491" s="9">
        <v>56.6</v>
      </c>
      <c r="F491" s="9">
        <v>42.8</v>
      </c>
      <c r="G491" s="9">
        <v>34.799999999999997</v>
      </c>
      <c r="H491" s="9">
        <v>31.8</v>
      </c>
      <c r="I491" s="9">
        <v>28</v>
      </c>
      <c r="J491" s="9">
        <v>20.5</v>
      </c>
      <c r="K491" s="9">
        <v>16.899999999999999</v>
      </c>
      <c r="L491" s="9">
        <v>8.85</v>
      </c>
    </row>
    <row r="492" spans="1:16" x14ac:dyDescent="0.15">
      <c r="A492" s="9">
        <v>1.75</v>
      </c>
      <c r="B492" s="9">
        <v>174.2</v>
      </c>
      <c r="C492" s="9">
        <v>94.5</v>
      </c>
      <c r="D492" s="9">
        <v>71.599999999999994</v>
      </c>
      <c r="E492" s="9">
        <v>58.7</v>
      </c>
      <c r="F492" s="9">
        <v>44.2</v>
      </c>
      <c r="G492" s="9">
        <v>35.9</v>
      </c>
      <c r="H492" s="9">
        <v>32.9</v>
      </c>
      <c r="I492" s="9">
        <v>28.8</v>
      </c>
      <c r="J492" s="9">
        <v>20.7</v>
      </c>
      <c r="K492" s="9">
        <v>17.100000000000001</v>
      </c>
      <c r="L492" s="9">
        <v>8.9499999999999993</v>
      </c>
    </row>
    <row r="493" spans="1:16" x14ac:dyDescent="0.15">
      <c r="A493" s="9">
        <v>1.7</v>
      </c>
      <c r="B493" s="9">
        <v>176.4</v>
      </c>
      <c r="C493" s="9">
        <v>98.7</v>
      </c>
      <c r="D493" s="9">
        <v>74.099999999999994</v>
      </c>
      <c r="E493" s="9">
        <v>60.3</v>
      </c>
      <c r="F493" s="9">
        <v>45.4</v>
      </c>
      <c r="G493" s="9">
        <v>36.9</v>
      </c>
      <c r="H493" s="9">
        <v>33.5</v>
      </c>
      <c r="I493" s="9">
        <v>29.3</v>
      </c>
      <c r="J493" s="9">
        <v>20.9</v>
      </c>
      <c r="K493" s="9">
        <v>17.2</v>
      </c>
      <c r="L493" s="9">
        <v>9.0500000000000007</v>
      </c>
    </row>
    <row r="494" spans="1:16" x14ac:dyDescent="0.15">
      <c r="A494" s="9">
        <v>1.67</v>
      </c>
      <c r="B494" s="9">
        <v>179.1</v>
      </c>
      <c r="C494" s="9">
        <v>103</v>
      </c>
      <c r="D494" s="9">
        <v>76.7</v>
      </c>
      <c r="E494" s="9">
        <v>62</v>
      </c>
      <c r="F494" s="9">
        <v>46.7</v>
      </c>
      <c r="G494" s="9">
        <v>37.799999999999997</v>
      </c>
      <c r="H494" s="9">
        <v>33.9</v>
      </c>
      <c r="I494" s="9">
        <v>29.7</v>
      </c>
      <c r="J494" s="9">
        <v>21.1</v>
      </c>
      <c r="K494" s="9">
        <v>17.399999999999999</v>
      </c>
      <c r="L494" s="9">
        <v>9.15</v>
      </c>
    </row>
    <row r="495" spans="1:16" x14ac:dyDescent="0.15">
      <c r="A495" s="9">
        <v>1.6</v>
      </c>
      <c r="B495" s="9">
        <v>181.8</v>
      </c>
      <c r="C495" s="9">
        <v>107.2</v>
      </c>
      <c r="D495" s="9">
        <v>79.099999999999994</v>
      </c>
      <c r="E495" s="9">
        <v>63.3</v>
      </c>
      <c r="F495" s="9">
        <v>47.7</v>
      </c>
      <c r="G495" s="9">
        <v>38.299999999999997</v>
      </c>
      <c r="H495" s="9">
        <v>34.4</v>
      </c>
      <c r="I495" s="9">
        <v>30.1</v>
      </c>
      <c r="J495" s="9">
        <v>21.5</v>
      </c>
      <c r="K495" s="9">
        <v>17.7</v>
      </c>
      <c r="L495" s="9">
        <v>9.3000000000000007</v>
      </c>
    </row>
    <row r="496" spans="1:16" s="35" customFormat="1" x14ac:dyDescent="0.15">
      <c r="A496" s="33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</row>
    <row r="497" spans="1:14" x14ac:dyDescent="0.15">
      <c r="A497" s="30" t="s">
        <v>253</v>
      </c>
      <c r="B497" s="30" t="s">
        <v>40</v>
      </c>
      <c r="C497" s="30" t="s">
        <v>198</v>
      </c>
      <c r="D497" s="30" t="s">
        <v>199</v>
      </c>
      <c r="E497" s="30" t="s">
        <v>200</v>
      </c>
      <c r="F497" s="30" t="s">
        <v>201</v>
      </c>
      <c r="G497" s="30" t="s">
        <v>202</v>
      </c>
      <c r="H497" s="30" t="s">
        <v>203</v>
      </c>
      <c r="I497" s="30" t="s">
        <v>81</v>
      </c>
      <c r="J497" s="30" t="s">
        <v>204</v>
      </c>
      <c r="K497" s="30" t="s">
        <v>75</v>
      </c>
      <c r="L497" s="30" t="s">
        <v>76</v>
      </c>
    </row>
    <row r="498" spans="1:14" x14ac:dyDescent="0.15">
      <c r="A498" s="9">
        <v>1.85</v>
      </c>
      <c r="B498" s="9">
        <v>240.3</v>
      </c>
      <c r="C498" s="9">
        <v>193.9</v>
      </c>
      <c r="D498" s="9">
        <v>154.19999999999999</v>
      </c>
      <c r="E498" s="9">
        <v>115.4</v>
      </c>
      <c r="F498" s="9">
        <v>91.8</v>
      </c>
      <c r="G498" s="9">
        <v>74</v>
      </c>
      <c r="H498" s="9">
        <v>62.5</v>
      </c>
      <c r="I498" s="9">
        <v>54.4</v>
      </c>
      <c r="J498" s="9">
        <v>44.3</v>
      </c>
      <c r="K498" s="9">
        <v>37.1</v>
      </c>
      <c r="L498" s="9">
        <v>20</v>
      </c>
    </row>
    <row r="499" spans="1:14" x14ac:dyDescent="0.15">
      <c r="A499" s="9">
        <v>1.8</v>
      </c>
      <c r="B499" s="9">
        <v>258.3</v>
      </c>
      <c r="C499" s="9">
        <v>203.7</v>
      </c>
      <c r="D499" s="9">
        <v>157.1</v>
      </c>
      <c r="E499" s="9">
        <v>121.1</v>
      </c>
      <c r="F499" s="9">
        <v>98.9</v>
      </c>
      <c r="G499" s="9">
        <v>79.5</v>
      </c>
      <c r="H499" s="9">
        <v>67.2</v>
      </c>
      <c r="I499" s="9">
        <v>58.2</v>
      </c>
      <c r="J499" s="9">
        <v>47.3</v>
      </c>
      <c r="K499" s="9">
        <v>39.5</v>
      </c>
      <c r="L499" s="9">
        <v>21.1</v>
      </c>
    </row>
    <row r="500" spans="1:14" x14ac:dyDescent="0.15">
      <c r="A500" s="9">
        <v>1.75</v>
      </c>
      <c r="B500" s="9">
        <v>296.2</v>
      </c>
      <c r="C500" s="9">
        <v>214.3</v>
      </c>
      <c r="D500" s="9">
        <v>163.69999999999999</v>
      </c>
      <c r="E500" s="9">
        <v>125.8</v>
      </c>
      <c r="F500" s="9">
        <v>101.1</v>
      </c>
      <c r="G500" s="9">
        <v>81.2</v>
      </c>
      <c r="H500" s="9">
        <v>68.5</v>
      </c>
      <c r="I500" s="9">
        <v>59.2</v>
      </c>
      <c r="J500" s="9">
        <v>48.1</v>
      </c>
      <c r="K500" s="9">
        <v>40.1</v>
      </c>
      <c r="L500" s="9">
        <v>21.3</v>
      </c>
    </row>
    <row r="501" spans="1:14" x14ac:dyDescent="0.15">
      <c r="A501" s="9">
        <v>1.7</v>
      </c>
      <c r="B501" s="9">
        <v>315.10000000000002</v>
      </c>
      <c r="C501" s="9">
        <v>217.7</v>
      </c>
      <c r="D501" s="9">
        <v>167.1</v>
      </c>
      <c r="E501" s="9">
        <v>128.1</v>
      </c>
      <c r="F501" s="9">
        <v>103.6</v>
      </c>
      <c r="G501" s="9">
        <v>82.9</v>
      </c>
      <c r="H501" s="9">
        <v>69.8</v>
      </c>
      <c r="I501" s="9">
        <v>60.4</v>
      </c>
      <c r="J501" s="9">
        <v>48.8</v>
      </c>
      <c r="K501" s="9">
        <v>40.6</v>
      </c>
      <c r="L501" s="9">
        <v>21.6</v>
      </c>
    </row>
    <row r="502" spans="1:14" x14ac:dyDescent="0.15">
      <c r="A502" s="9">
        <v>1.67</v>
      </c>
      <c r="B502" s="9">
        <v>320.39999999999998</v>
      </c>
      <c r="C502" s="9">
        <v>220.2</v>
      </c>
      <c r="D502" s="9">
        <v>169.6</v>
      </c>
      <c r="E502" s="9">
        <v>128.9</v>
      </c>
      <c r="F502" s="9">
        <v>104.8</v>
      </c>
      <c r="G502" s="9">
        <v>83.9</v>
      </c>
      <c r="H502" s="9">
        <v>70.599999999999994</v>
      </c>
      <c r="I502" s="9">
        <v>61</v>
      </c>
      <c r="J502" s="9">
        <v>49.3</v>
      </c>
      <c r="K502" s="9">
        <v>40.9</v>
      </c>
      <c r="L502" s="9">
        <v>21.7</v>
      </c>
    </row>
    <row r="503" spans="1:14" x14ac:dyDescent="0.15">
      <c r="A503" s="9">
        <v>1.6</v>
      </c>
      <c r="B503" s="9">
        <v>349.4</v>
      </c>
      <c r="C503" s="9">
        <v>234.8</v>
      </c>
      <c r="D503" s="9">
        <v>173.4</v>
      </c>
      <c r="E503" s="9">
        <v>139.19999999999999</v>
      </c>
      <c r="F503" s="9">
        <v>108.1</v>
      </c>
      <c r="G503" s="9">
        <v>86.2</v>
      </c>
      <c r="H503" s="9">
        <v>72.400000000000006</v>
      </c>
      <c r="I503" s="9">
        <v>62.4</v>
      </c>
      <c r="J503" s="9">
        <v>50.3</v>
      </c>
      <c r="K503" s="9">
        <v>41.9</v>
      </c>
      <c r="L503" s="9">
        <v>22.1</v>
      </c>
    </row>
    <row r="504" spans="1:14" s="35" customFormat="1" x14ac:dyDescent="0.15">
      <c r="A504" s="33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</row>
    <row r="505" spans="1:14" x14ac:dyDescent="0.15">
      <c r="A505" s="30" t="s">
        <v>254</v>
      </c>
      <c r="B505" s="30" t="s">
        <v>40</v>
      </c>
      <c r="C505" s="30" t="s">
        <v>198</v>
      </c>
      <c r="D505" s="30" t="s">
        <v>199</v>
      </c>
      <c r="E505" s="30" t="s">
        <v>200</v>
      </c>
      <c r="F505" s="30" t="s">
        <v>201</v>
      </c>
      <c r="G505" s="30" t="s">
        <v>202</v>
      </c>
      <c r="H505" s="30" t="s">
        <v>203</v>
      </c>
      <c r="I505" s="30" t="s">
        <v>81</v>
      </c>
      <c r="J505" s="30" t="s">
        <v>204</v>
      </c>
      <c r="K505" s="30" t="s">
        <v>75</v>
      </c>
      <c r="L505" s="30" t="s">
        <v>76</v>
      </c>
    </row>
    <row r="506" spans="1:14" x14ac:dyDescent="0.15">
      <c r="A506" s="9">
        <v>1.85</v>
      </c>
      <c r="B506" s="9">
        <v>369.9</v>
      </c>
      <c r="C506" s="9">
        <v>299.5</v>
      </c>
      <c r="D506" s="9">
        <v>236.9</v>
      </c>
      <c r="E506" s="9">
        <v>177.7</v>
      </c>
      <c r="F506" s="9">
        <v>137.69999999999999</v>
      </c>
      <c r="G506" s="9">
        <v>111</v>
      </c>
      <c r="H506" s="9">
        <v>93.8</v>
      </c>
      <c r="I506" s="9">
        <v>81.599999999999994</v>
      </c>
      <c r="J506" s="9">
        <v>66.400000000000006</v>
      </c>
      <c r="K506" s="9">
        <v>55.6</v>
      </c>
      <c r="L506" s="9">
        <v>30</v>
      </c>
    </row>
    <row r="507" spans="1:14" x14ac:dyDescent="0.15">
      <c r="A507" s="9">
        <v>1.8</v>
      </c>
      <c r="B507" s="9">
        <v>398</v>
      </c>
      <c r="C507" s="9">
        <v>314.5</v>
      </c>
      <c r="D507" s="9">
        <v>241.7</v>
      </c>
      <c r="E507" s="9">
        <v>186.4</v>
      </c>
      <c r="F507" s="9">
        <v>148.4</v>
      </c>
      <c r="G507" s="9">
        <v>119.2</v>
      </c>
      <c r="H507" s="9">
        <v>100.8</v>
      </c>
      <c r="I507" s="9">
        <v>87.3</v>
      </c>
      <c r="J507" s="9">
        <v>71</v>
      </c>
      <c r="K507" s="9">
        <v>59.3</v>
      </c>
      <c r="L507" s="9">
        <v>31.6</v>
      </c>
    </row>
    <row r="508" spans="1:14" x14ac:dyDescent="0.15">
      <c r="A508" s="9">
        <v>1.75</v>
      </c>
      <c r="B508" s="9">
        <v>456.3</v>
      </c>
      <c r="C508" s="9">
        <v>330.4</v>
      </c>
      <c r="D508" s="9">
        <v>251.4</v>
      </c>
      <c r="E508" s="9">
        <v>194.2</v>
      </c>
      <c r="F508" s="9">
        <v>151.69999999999999</v>
      </c>
      <c r="G508" s="9">
        <v>119.7</v>
      </c>
      <c r="H508" s="9">
        <v>102.7</v>
      </c>
      <c r="I508" s="9">
        <v>88.9</v>
      </c>
      <c r="J508" s="9">
        <v>72.099999999999994</v>
      </c>
      <c r="K508" s="9">
        <v>60.1</v>
      </c>
      <c r="L508" s="9">
        <v>32</v>
      </c>
    </row>
    <row r="509" spans="1:14" x14ac:dyDescent="0.15">
      <c r="A509" s="9">
        <v>1.7</v>
      </c>
      <c r="B509" s="9">
        <v>485.4</v>
      </c>
      <c r="C509" s="9">
        <v>335.1</v>
      </c>
      <c r="D509" s="9">
        <v>256.8</v>
      </c>
      <c r="E509" s="9">
        <v>199</v>
      </c>
      <c r="F509" s="9">
        <v>155.4</v>
      </c>
      <c r="G509" s="9">
        <v>121.4</v>
      </c>
      <c r="H509" s="9">
        <v>104.7</v>
      </c>
      <c r="I509" s="9">
        <v>89.5</v>
      </c>
      <c r="J509" s="9">
        <v>73.3</v>
      </c>
      <c r="K509" s="9">
        <v>60.9</v>
      </c>
      <c r="L509" s="9">
        <v>32.299999999999997</v>
      </c>
    </row>
    <row r="510" spans="1:14" x14ac:dyDescent="0.15">
      <c r="A510" s="9">
        <v>1.67</v>
      </c>
      <c r="B510" s="9">
        <v>493.6</v>
      </c>
      <c r="C510" s="9">
        <v>339.3</v>
      </c>
      <c r="D510" s="9">
        <v>260.8</v>
      </c>
      <c r="E510" s="9">
        <v>202.1</v>
      </c>
      <c r="F510" s="9">
        <v>157.30000000000001</v>
      </c>
      <c r="G510" s="9">
        <v>124.8</v>
      </c>
      <c r="H510" s="9">
        <v>105.8</v>
      </c>
      <c r="I510" s="9">
        <v>91.5</v>
      </c>
      <c r="J510" s="9">
        <v>73.900000000000006</v>
      </c>
      <c r="K510" s="9">
        <v>61.4</v>
      </c>
      <c r="L510" s="9">
        <v>32.6</v>
      </c>
    </row>
    <row r="511" spans="1:14" x14ac:dyDescent="0.15">
      <c r="A511" s="9">
        <v>1.6</v>
      </c>
      <c r="B511" s="9">
        <v>524.1</v>
      </c>
      <c r="C511" s="9">
        <v>352.3</v>
      </c>
      <c r="D511" s="9">
        <v>270.10000000000002</v>
      </c>
      <c r="E511" s="9">
        <v>208.9</v>
      </c>
      <c r="F511" s="9">
        <v>162.1</v>
      </c>
      <c r="G511" s="9">
        <v>129.30000000000001</v>
      </c>
      <c r="H511" s="9">
        <v>108.6</v>
      </c>
      <c r="I511" s="9">
        <v>93.6</v>
      </c>
      <c r="J511" s="9">
        <v>75.400000000000006</v>
      </c>
      <c r="K511" s="9">
        <v>62.6</v>
      </c>
      <c r="L511" s="9">
        <v>33.1</v>
      </c>
    </row>
    <row r="512" spans="1:14" s="35" customFormat="1" x14ac:dyDescent="0.15">
      <c r="A512" s="33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</row>
    <row r="513" spans="1:14" x14ac:dyDescent="0.15">
      <c r="A513" s="30" t="s">
        <v>255</v>
      </c>
      <c r="B513" s="30" t="s">
        <v>40</v>
      </c>
      <c r="C513" s="30" t="s">
        <v>198</v>
      </c>
      <c r="D513" s="30" t="s">
        <v>199</v>
      </c>
      <c r="E513" s="30" t="s">
        <v>200</v>
      </c>
      <c r="F513" s="30" t="s">
        <v>201</v>
      </c>
      <c r="G513" s="30" t="s">
        <v>202</v>
      </c>
      <c r="H513" s="30" t="s">
        <v>203</v>
      </c>
      <c r="I513" s="30" t="s">
        <v>81</v>
      </c>
      <c r="J513" s="30" t="s">
        <v>204</v>
      </c>
      <c r="K513" s="30" t="s">
        <v>75</v>
      </c>
      <c r="L513" s="30" t="s">
        <v>76</v>
      </c>
    </row>
    <row r="514" spans="1:14" x14ac:dyDescent="0.15">
      <c r="A514" s="9">
        <v>1.85</v>
      </c>
      <c r="B514" s="9">
        <v>480.7</v>
      </c>
      <c r="C514" s="9">
        <v>388.9</v>
      </c>
      <c r="D514" s="9">
        <v>307.5</v>
      </c>
      <c r="E514" s="9">
        <v>230.9</v>
      </c>
      <c r="F514" s="9">
        <v>183.6</v>
      </c>
      <c r="G514" s="9">
        <v>148</v>
      </c>
      <c r="H514" s="9">
        <v>125.1</v>
      </c>
      <c r="I514" s="9">
        <v>108.8</v>
      </c>
      <c r="J514" s="9">
        <v>88.6</v>
      </c>
      <c r="K514" s="9">
        <v>74.2</v>
      </c>
      <c r="L514" s="9">
        <v>40</v>
      </c>
    </row>
    <row r="515" spans="1:14" x14ac:dyDescent="0.15">
      <c r="A515" s="9">
        <v>1.8</v>
      </c>
      <c r="B515" s="9">
        <v>517.6</v>
      </c>
      <c r="C515" s="9">
        <v>408.3</v>
      </c>
      <c r="D515" s="9">
        <v>314.10000000000002</v>
      </c>
      <c r="E515" s="9">
        <v>243.2</v>
      </c>
      <c r="F515" s="9">
        <v>197.8</v>
      </c>
      <c r="G515" s="9">
        <v>159</v>
      </c>
      <c r="H515" s="9">
        <v>134.30000000000001</v>
      </c>
      <c r="I515" s="9">
        <v>116.4</v>
      </c>
      <c r="J515" s="9">
        <v>94.6</v>
      </c>
      <c r="K515" s="9">
        <v>79</v>
      </c>
      <c r="L515" s="9">
        <v>42.1</v>
      </c>
    </row>
    <row r="516" spans="1:14" x14ac:dyDescent="0.15">
      <c r="A516" s="9">
        <v>1.75</v>
      </c>
      <c r="B516" s="9">
        <v>593.29999999999995</v>
      </c>
      <c r="C516" s="9">
        <v>428.7</v>
      </c>
      <c r="D516" s="9">
        <v>326.39999999999998</v>
      </c>
      <c r="E516" s="9">
        <v>252.6</v>
      </c>
      <c r="F516" s="9">
        <v>202.2</v>
      </c>
      <c r="G516" s="9">
        <v>162.30000000000001</v>
      </c>
      <c r="H516" s="9">
        <v>137</v>
      </c>
      <c r="I516" s="9">
        <v>118.5</v>
      </c>
      <c r="J516" s="9">
        <v>96.2</v>
      </c>
      <c r="K516" s="9">
        <v>80.099999999999994</v>
      </c>
      <c r="L516" s="9">
        <v>42.6</v>
      </c>
    </row>
    <row r="517" spans="1:14" x14ac:dyDescent="0.15">
      <c r="A517" s="9">
        <v>1.7</v>
      </c>
      <c r="B517" s="9">
        <v>630.20000000000005</v>
      </c>
      <c r="C517" s="9">
        <v>435.4</v>
      </c>
      <c r="D517" s="9">
        <v>336.4</v>
      </c>
      <c r="E517" s="9">
        <v>254.2</v>
      </c>
      <c r="F517" s="9">
        <v>207.8</v>
      </c>
      <c r="G517" s="9">
        <v>165.8</v>
      </c>
      <c r="H517" s="9">
        <v>139.69999999999999</v>
      </c>
      <c r="I517" s="9">
        <v>120.7</v>
      </c>
      <c r="J517" s="9">
        <v>97.7</v>
      </c>
      <c r="K517" s="9">
        <v>81.3</v>
      </c>
      <c r="L517" s="9">
        <v>43.1</v>
      </c>
    </row>
    <row r="518" spans="1:14" x14ac:dyDescent="0.15">
      <c r="A518" s="9">
        <v>1.67</v>
      </c>
      <c r="B518" s="9">
        <v>641.79999999999995</v>
      </c>
      <c r="C518" s="9">
        <v>439.9</v>
      </c>
      <c r="D518" s="9">
        <v>337.2</v>
      </c>
      <c r="E518" s="9">
        <v>258.60000000000002</v>
      </c>
      <c r="F518" s="9">
        <v>209.7</v>
      </c>
      <c r="G518" s="9">
        <v>167.7</v>
      </c>
      <c r="H518" s="9">
        <v>141.1</v>
      </c>
      <c r="I518" s="9">
        <v>121.9</v>
      </c>
      <c r="J518" s="9">
        <v>98.6</v>
      </c>
      <c r="K518" s="9">
        <v>81.900000000000006</v>
      </c>
      <c r="L518" s="9">
        <v>43.4</v>
      </c>
    </row>
    <row r="519" spans="1:14" x14ac:dyDescent="0.15">
      <c r="A519" s="9">
        <v>1.6</v>
      </c>
      <c r="B519" s="9">
        <v>698.8</v>
      </c>
      <c r="C519" s="9">
        <v>469.8</v>
      </c>
      <c r="D519" s="9">
        <v>346.7</v>
      </c>
      <c r="E519" s="9">
        <v>278.39999999999998</v>
      </c>
      <c r="F519" s="9">
        <v>216.1</v>
      </c>
      <c r="G519" s="9">
        <v>172.4</v>
      </c>
      <c r="H519" s="9">
        <v>144.80000000000001</v>
      </c>
      <c r="I519" s="9">
        <v>124.8</v>
      </c>
      <c r="J519" s="9">
        <v>100.6</v>
      </c>
      <c r="K519" s="9">
        <v>83.4</v>
      </c>
      <c r="L519" s="9">
        <v>44.2</v>
      </c>
    </row>
    <row r="520" spans="1:14" s="35" customFormat="1" x14ac:dyDescent="0.15">
      <c r="A520" s="33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</row>
    <row r="521" spans="1:14" x14ac:dyDescent="0.15">
      <c r="A521" s="30" t="s">
        <v>256</v>
      </c>
      <c r="B521" s="30" t="s">
        <v>40</v>
      </c>
      <c r="C521" s="30" t="s">
        <v>198</v>
      </c>
      <c r="D521" s="30" t="s">
        <v>199</v>
      </c>
      <c r="E521" s="30" t="s">
        <v>200</v>
      </c>
      <c r="F521" s="30" t="s">
        <v>201</v>
      </c>
      <c r="G521" s="30" t="s">
        <v>202</v>
      </c>
      <c r="H521" s="30" t="s">
        <v>203</v>
      </c>
      <c r="I521" s="30" t="s">
        <v>81</v>
      </c>
      <c r="J521" s="30" t="s">
        <v>204</v>
      </c>
      <c r="K521" s="30" t="s">
        <v>75</v>
      </c>
      <c r="L521" s="30" t="s">
        <v>76</v>
      </c>
    </row>
    <row r="522" spans="1:14" x14ac:dyDescent="0.15">
      <c r="A522" s="9">
        <v>1.85</v>
      </c>
      <c r="B522" s="9">
        <v>617.5</v>
      </c>
      <c r="C522" s="9">
        <v>499.4</v>
      </c>
      <c r="D522" s="9">
        <v>395.8</v>
      </c>
      <c r="E522" s="9">
        <v>296.60000000000002</v>
      </c>
      <c r="F522" s="9">
        <v>229.5</v>
      </c>
      <c r="G522" s="9">
        <v>185</v>
      </c>
      <c r="H522" s="9">
        <v>156.4</v>
      </c>
      <c r="I522" s="9">
        <v>136</v>
      </c>
      <c r="J522" s="9">
        <v>110.7</v>
      </c>
      <c r="K522" s="9">
        <v>92.7</v>
      </c>
      <c r="L522" s="9">
        <v>49.9</v>
      </c>
    </row>
    <row r="523" spans="1:14" x14ac:dyDescent="0.15">
      <c r="A523" s="9">
        <v>1.8</v>
      </c>
      <c r="B523" s="9">
        <v>664.2</v>
      </c>
      <c r="C523" s="9">
        <v>524.29999999999995</v>
      </c>
      <c r="D523" s="9">
        <v>403.6</v>
      </c>
      <c r="E523" s="9">
        <v>311.2</v>
      </c>
      <c r="F523" s="9">
        <v>247.3</v>
      </c>
      <c r="G523" s="9">
        <v>198.7</v>
      </c>
      <c r="H523" s="9">
        <v>167.9</v>
      </c>
      <c r="I523" s="9">
        <v>145.5</v>
      </c>
      <c r="J523" s="9">
        <v>118.3</v>
      </c>
      <c r="K523" s="9">
        <v>98.8</v>
      </c>
      <c r="L523" s="9">
        <v>52.6</v>
      </c>
    </row>
    <row r="524" spans="1:14" x14ac:dyDescent="0.15">
      <c r="A524" s="9">
        <v>1.75</v>
      </c>
      <c r="B524" s="9">
        <v>761.5</v>
      </c>
      <c r="C524" s="9">
        <v>551.20000000000005</v>
      </c>
      <c r="D524" s="9">
        <v>420.1</v>
      </c>
      <c r="E524" s="9">
        <v>323.8</v>
      </c>
      <c r="F524" s="9">
        <v>252.8</v>
      </c>
      <c r="G524" s="9">
        <v>202.9</v>
      </c>
      <c r="H524" s="9">
        <v>171.2</v>
      </c>
      <c r="I524" s="9">
        <v>148.1</v>
      </c>
      <c r="J524" s="9">
        <v>120.2</v>
      </c>
      <c r="K524" s="9">
        <v>100.2</v>
      </c>
      <c r="L524" s="9">
        <v>53.3</v>
      </c>
    </row>
    <row r="525" spans="1:14" x14ac:dyDescent="0.15">
      <c r="A525" s="9">
        <v>1.7</v>
      </c>
      <c r="B525" s="9">
        <v>810.1</v>
      </c>
      <c r="C525" s="9">
        <v>559.4</v>
      </c>
      <c r="D525" s="9">
        <v>429</v>
      </c>
      <c r="E525" s="9">
        <v>332.6</v>
      </c>
      <c r="F525" s="9">
        <v>258.89999999999998</v>
      </c>
      <c r="G525" s="9">
        <v>207.3</v>
      </c>
      <c r="H525" s="9">
        <v>174.6</v>
      </c>
      <c r="I525" s="9">
        <v>150.9</v>
      </c>
      <c r="J525" s="9">
        <v>122.1</v>
      </c>
      <c r="K525" s="9">
        <v>101.6</v>
      </c>
      <c r="L525" s="9">
        <v>53.9</v>
      </c>
    </row>
    <row r="526" spans="1:14" x14ac:dyDescent="0.15">
      <c r="A526" s="9">
        <v>1.67</v>
      </c>
      <c r="B526" s="9">
        <v>823.9</v>
      </c>
      <c r="C526" s="9">
        <v>565.79999999999995</v>
      </c>
      <c r="D526" s="9">
        <v>433</v>
      </c>
      <c r="E526" s="9">
        <v>336.1</v>
      </c>
      <c r="F526" s="9">
        <v>262.10000000000002</v>
      </c>
      <c r="G526" s="9">
        <v>209.6</v>
      </c>
      <c r="H526" s="9">
        <v>176.4</v>
      </c>
      <c r="I526" s="9">
        <v>152.4</v>
      </c>
      <c r="J526" s="9">
        <v>123.2</v>
      </c>
      <c r="K526" s="9">
        <v>102.4</v>
      </c>
      <c r="L526" s="9">
        <v>54.3</v>
      </c>
    </row>
    <row r="527" spans="1:14" x14ac:dyDescent="0.15">
      <c r="A527" s="9">
        <v>1.6</v>
      </c>
      <c r="B527" s="9">
        <v>873.5</v>
      </c>
      <c r="C527" s="9">
        <v>587.20000000000005</v>
      </c>
      <c r="D527" s="9">
        <v>433.5</v>
      </c>
      <c r="E527" s="9">
        <v>348.1</v>
      </c>
      <c r="F527" s="9">
        <v>270.2</v>
      </c>
      <c r="G527" s="9">
        <v>215.5</v>
      </c>
      <c r="H527" s="9">
        <v>181</v>
      </c>
      <c r="I527" s="9">
        <v>156.1</v>
      </c>
      <c r="J527" s="9">
        <v>125.7</v>
      </c>
      <c r="K527" s="9">
        <v>104.3</v>
      </c>
      <c r="L527" s="9">
        <v>55.2</v>
      </c>
    </row>
    <row r="528" spans="1:14" s="35" customFormat="1" x14ac:dyDescent="0.15">
      <c r="A528" s="33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</row>
    <row r="529" spans="1:14" x14ac:dyDescent="0.15">
      <c r="A529" s="30" t="s">
        <v>257</v>
      </c>
      <c r="B529" s="30" t="s">
        <v>40</v>
      </c>
      <c r="C529" s="30" t="s">
        <v>198</v>
      </c>
      <c r="D529" s="30" t="s">
        <v>199</v>
      </c>
      <c r="E529" s="30" t="s">
        <v>200</v>
      </c>
      <c r="F529" s="30" t="s">
        <v>201</v>
      </c>
      <c r="G529" s="30" t="s">
        <v>202</v>
      </c>
      <c r="H529" s="30" t="s">
        <v>203</v>
      </c>
      <c r="I529" s="30" t="s">
        <v>81</v>
      </c>
      <c r="J529" s="30" t="s">
        <v>204</v>
      </c>
      <c r="K529" s="30" t="s">
        <v>75</v>
      </c>
      <c r="L529" s="30" t="s">
        <v>76</v>
      </c>
    </row>
    <row r="530" spans="1:14" x14ac:dyDescent="0.15">
      <c r="A530" s="9">
        <v>1.85</v>
      </c>
      <c r="B530" s="9">
        <v>730.8</v>
      </c>
      <c r="C530" s="9">
        <v>507.4</v>
      </c>
      <c r="D530" s="9">
        <v>467.7</v>
      </c>
      <c r="E530" s="9">
        <v>356.6</v>
      </c>
      <c r="F530" s="9">
        <v>275.3</v>
      </c>
      <c r="G530" s="9">
        <v>222</v>
      </c>
      <c r="H530" s="9">
        <v>187.6</v>
      </c>
      <c r="I530" s="9">
        <v>163.1</v>
      </c>
      <c r="J530" s="9">
        <v>132.9</v>
      </c>
      <c r="K530" s="9">
        <v>111.3</v>
      </c>
      <c r="L530" s="9">
        <v>59.9</v>
      </c>
    </row>
    <row r="531" spans="1:14" x14ac:dyDescent="0.15">
      <c r="A531" s="9">
        <v>1.8</v>
      </c>
      <c r="B531" s="9">
        <v>785.4</v>
      </c>
      <c r="C531" s="9">
        <v>617.20000000000005</v>
      </c>
      <c r="D531" s="9">
        <v>477.5</v>
      </c>
      <c r="E531" s="9">
        <v>374.2</v>
      </c>
      <c r="F531" s="9">
        <v>296.7</v>
      </c>
      <c r="G531" s="9">
        <v>238.4</v>
      </c>
      <c r="H531" s="9">
        <v>201.5</v>
      </c>
      <c r="I531" s="9">
        <v>174.5</v>
      </c>
      <c r="J531" s="9">
        <v>142</v>
      </c>
      <c r="K531" s="9">
        <v>118.6</v>
      </c>
      <c r="L531" s="9">
        <v>63.2</v>
      </c>
    </row>
    <row r="532" spans="1:14" x14ac:dyDescent="0.15">
      <c r="A532" s="9">
        <v>1.75</v>
      </c>
      <c r="B532" s="9">
        <v>900.4</v>
      </c>
      <c r="C532" s="9">
        <v>649</v>
      </c>
      <c r="D532" s="9">
        <v>496</v>
      </c>
      <c r="E532" s="9">
        <v>389.8</v>
      </c>
      <c r="F532" s="9">
        <v>303.3</v>
      </c>
      <c r="G532" s="9">
        <v>243.5</v>
      </c>
      <c r="H532" s="9">
        <v>205.4</v>
      </c>
      <c r="I532" s="9">
        <v>177.7</v>
      </c>
      <c r="J532" s="9">
        <v>144.30000000000001</v>
      </c>
      <c r="K532" s="9">
        <v>120.2</v>
      </c>
      <c r="L532" s="9">
        <v>63.9</v>
      </c>
    </row>
    <row r="533" spans="1:14" x14ac:dyDescent="0.15">
      <c r="A533" s="9">
        <v>1.7</v>
      </c>
      <c r="B533" s="9">
        <v>957.9</v>
      </c>
      <c r="C533" s="9">
        <v>658.7</v>
      </c>
      <c r="D533" s="9">
        <v>513.5</v>
      </c>
      <c r="E533" s="9">
        <v>396.5</v>
      </c>
      <c r="F533" s="9">
        <v>310.7</v>
      </c>
      <c r="G533" s="9">
        <v>248.7</v>
      </c>
      <c r="H533" s="9">
        <v>209.5</v>
      </c>
      <c r="I533" s="9">
        <v>181.1</v>
      </c>
      <c r="J533" s="9">
        <v>146.5</v>
      </c>
      <c r="K533" s="9">
        <v>121.9</v>
      </c>
      <c r="L533" s="9">
        <v>64.7</v>
      </c>
    </row>
    <row r="534" spans="1:14" x14ac:dyDescent="0.15">
      <c r="A534" s="9">
        <v>1.67</v>
      </c>
      <c r="B534" s="9">
        <v>974.8</v>
      </c>
      <c r="C534" s="9">
        <v>665.3</v>
      </c>
      <c r="D534" s="9">
        <v>516.29999999999995</v>
      </c>
      <c r="E534" s="9">
        <v>399.6</v>
      </c>
      <c r="F534" s="9">
        <v>314.5</v>
      </c>
      <c r="G534" s="9">
        <v>251.6</v>
      </c>
      <c r="H534" s="9">
        <v>211.7</v>
      </c>
      <c r="I534" s="9">
        <v>182.9</v>
      </c>
      <c r="J534" s="9">
        <v>147.9</v>
      </c>
      <c r="K534" s="9">
        <v>122.8</v>
      </c>
      <c r="L534" s="9">
        <v>65.099999999999994</v>
      </c>
    </row>
    <row r="535" spans="1:14" x14ac:dyDescent="0.15">
      <c r="A535" s="9">
        <v>1.6</v>
      </c>
      <c r="B535" s="9">
        <v>1048.2</v>
      </c>
      <c r="C535" s="9">
        <v>701.1</v>
      </c>
      <c r="D535" s="9">
        <v>520.1</v>
      </c>
      <c r="E535" s="9">
        <v>417.6</v>
      </c>
      <c r="F535" s="9">
        <v>324.2</v>
      </c>
      <c r="G535" s="9">
        <v>258.60000000000002</v>
      </c>
      <c r="H535" s="9">
        <v>217.2</v>
      </c>
      <c r="I535" s="9">
        <v>187.3</v>
      </c>
      <c r="J535" s="9">
        <v>150.9</v>
      </c>
      <c r="K535" s="9">
        <v>125.1</v>
      </c>
      <c r="L535" s="9">
        <v>66.2</v>
      </c>
    </row>
    <row r="536" spans="1:14" s="35" customFormat="1" x14ac:dyDescent="0.15">
      <c r="A536" s="33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</row>
    <row r="537" spans="1:14" x14ac:dyDescent="0.15">
      <c r="A537" s="30" t="s">
        <v>258</v>
      </c>
      <c r="B537" s="30" t="s">
        <v>40</v>
      </c>
      <c r="C537" s="30" t="s">
        <v>198</v>
      </c>
      <c r="D537" s="30" t="s">
        <v>199</v>
      </c>
      <c r="E537" s="30" t="s">
        <v>200</v>
      </c>
      <c r="F537" s="30" t="s">
        <v>201</v>
      </c>
      <c r="G537" s="30" t="s">
        <v>202</v>
      </c>
      <c r="H537" s="30" t="s">
        <v>203</v>
      </c>
      <c r="I537" s="30" t="s">
        <v>81</v>
      </c>
      <c r="J537" s="30" t="s">
        <v>204</v>
      </c>
      <c r="K537" s="30" t="s">
        <v>75</v>
      </c>
      <c r="L537" s="30" t="s">
        <v>76</v>
      </c>
    </row>
    <row r="538" spans="1:14" x14ac:dyDescent="0.15">
      <c r="A538" s="9">
        <v>1.85</v>
      </c>
      <c r="B538" s="9">
        <v>992.2</v>
      </c>
      <c r="C538" s="9">
        <v>801</v>
      </c>
      <c r="D538" s="9">
        <v>635.1</v>
      </c>
      <c r="E538" s="9">
        <v>476.1</v>
      </c>
      <c r="F538" s="9">
        <v>367.1</v>
      </c>
      <c r="G538" s="9">
        <v>296</v>
      </c>
      <c r="H538" s="9">
        <v>250.2</v>
      </c>
      <c r="I538" s="9">
        <v>217.5</v>
      </c>
      <c r="J538" s="9">
        <v>177.2</v>
      </c>
      <c r="K538" s="9">
        <v>148.4</v>
      </c>
      <c r="L538" s="9">
        <v>79.900000000000006</v>
      </c>
    </row>
    <row r="539" spans="1:14" x14ac:dyDescent="0.15">
      <c r="A539" s="9">
        <v>1.8</v>
      </c>
      <c r="B539" s="9">
        <v>1066.4000000000001</v>
      </c>
      <c r="C539" s="9">
        <v>842</v>
      </c>
      <c r="D539" s="9">
        <v>648.79999999999995</v>
      </c>
      <c r="E539" s="9">
        <v>500.5</v>
      </c>
      <c r="F539" s="9">
        <v>395.6</v>
      </c>
      <c r="G539" s="9">
        <v>317.89999999999998</v>
      </c>
      <c r="H539" s="9">
        <v>268.7</v>
      </c>
      <c r="I539" s="9">
        <v>232.7</v>
      </c>
      <c r="J539" s="9">
        <v>189.3</v>
      </c>
      <c r="K539" s="9">
        <v>158.1</v>
      </c>
      <c r="L539" s="9">
        <v>84.2</v>
      </c>
    </row>
    <row r="540" spans="1:14" x14ac:dyDescent="0.15">
      <c r="A540" s="9">
        <v>1.75</v>
      </c>
      <c r="B540" s="9">
        <v>1222.5</v>
      </c>
      <c r="C540" s="9">
        <v>885</v>
      </c>
      <c r="D540" s="9">
        <v>674.2</v>
      </c>
      <c r="E540" s="9">
        <v>520</v>
      </c>
      <c r="F540" s="9">
        <v>404.4</v>
      </c>
      <c r="G540" s="9">
        <v>324.60000000000002</v>
      </c>
      <c r="H540" s="9">
        <v>273.89999999999998</v>
      </c>
      <c r="I540" s="9">
        <v>236.9</v>
      </c>
      <c r="J540" s="9">
        <v>192.4</v>
      </c>
      <c r="K540" s="9">
        <v>160.30000000000001</v>
      </c>
      <c r="L540" s="9">
        <v>85.2</v>
      </c>
    </row>
    <row r="541" spans="1:14" x14ac:dyDescent="0.15">
      <c r="A541" s="9">
        <v>1.7</v>
      </c>
      <c r="B541" s="9">
        <v>1300.5</v>
      </c>
      <c r="C541" s="9">
        <v>898.9</v>
      </c>
      <c r="D541" s="9">
        <v>687.5</v>
      </c>
      <c r="E541" s="9">
        <v>528.79999999999995</v>
      </c>
      <c r="F541" s="9">
        <v>414.3</v>
      </c>
      <c r="G541" s="9">
        <v>331.6</v>
      </c>
      <c r="H541" s="9">
        <v>279.89999999999998</v>
      </c>
      <c r="I541" s="9">
        <v>241.4</v>
      </c>
      <c r="J541" s="9">
        <v>195.4</v>
      </c>
      <c r="K541" s="9">
        <v>162.5</v>
      </c>
      <c r="L541" s="9">
        <v>86.2</v>
      </c>
    </row>
    <row r="542" spans="1:14" x14ac:dyDescent="0.15">
      <c r="A542" s="9">
        <v>1.67</v>
      </c>
      <c r="B542" s="9">
        <v>1322.6</v>
      </c>
      <c r="C542" s="9">
        <v>909.2</v>
      </c>
      <c r="D542" s="9">
        <v>691.3</v>
      </c>
      <c r="E542" s="9">
        <v>538.79999999999995</v>
      </c>
      <c r="F542" s="9">
        <v>419.4</v>
      </c>
      <c r="G542" s="9">
        <v>335.4</v>
      </c>
      <c r="H542" s="9">
        <v>282.2</v>
      </c>
      <c r="I542" s="9">
        <v>243.9</v>
      </c>
      <c r="J542" s="9">
        <v>197.1</v>
      </c>
      <c r="K542" s="9">
        <v>163.80000000000001</v>
      </c>
      <c r="L542" s="9">
        <v>86.8</v>
      </c>
    </row>
    <row r="543" spans="1:14" x14ac:dyDescent="0.15">
      <c r="A543" s="9">
        <v>1.6</v>
      </c>
      <c r="B543" s="9">
        <v>1397.7</v>
      </c>
      <c r="C543" s="9">
        <v>939.4</v>
      </c>
      <c r="D543" s="9">
        <v>693.5</v>
      </c>
      <c r="E543" s="9">
        <v>557.79999999999995</v>
      </c>
      <c r="F543" s="9">
        <v>432.3</v>
      </c>
      <c r="G543" s="9">
        <v>344.8</v>
      </c>
      <c r="H543" s="9">
        <v>289.60000000000002</v>
      </c>
      <c r="I543" s="9">
        <v>249.7</v>
      </c>
      <c r="J543" s="9">
        <v>201.2</v>
      </c>
      <c r="K543" s="9">
        <v>166.8</v>
      </c>
      <c r="L543" s="9">
        <v>88.3</v>
      </c>
    </row>
    <row r="544" spans="1:14" s="35" customFormat="1" x14ac:dyDescent="0.15">
      <c r="A544" s="33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</row>
    <row r="545" spans="1:14" x14ac:dyDescent="0.15">
      <c r="A545" s="30" t="s">
        <v>259</v>
      </c>
      <c r="B545" s="30" t="s">
        <v>40</v>
      </c>
      <c r="C545" s="30" t="s">
        <v>198</v>
      </c>
      <c r="D545" s="30" t="s">
        <v>199</v>
      </c>
      <c r="E545" s="30" t="s">
        <v>200</v>
      </c>
      <c r="F545" s="30" t="s">
        <v>201</v>
      </c>
      <c r="G545" s="30" t="s">
        <v>202</v>
      </c>
      <c r="H545" s="30" t="s">
        <v>203</v>
      </c>
      <c r="I545" s="30" t="s">
        <v>81</v>
      </c>
      <c r="J545" s="30" t="s">
        <v>204</v>
      </c>
      <c r="K545" s="30" t="s">
        <v>75</v>
      </c>
      <c r="L545" s="30" t="s">
        <v>76</v>
      </c>
    </row>
    <row r="546" spans="1:14" x14ac:dyDescent="0.15">
      <c r="A546" s="9">
        <v>1.85</v>
      </c>
      <c r="B546" s="9">
        <v>1225.9000000000001</v>
      </c>
      <c r="C546" s="9">
        <v>990.6</v>
      </c>
      <c r="D546" s="9">
        <v>785.1</v>
      </c>
      <c r="E546" s="9">
        <v>588.29999999999995</v>
      </c>
      <c r="F546" s="9">
        <v>458.9</v>
      </c>
      <c r="G546" s="9">
        <v>370</v>
      </c>
      <c r="H546" s="9">
        <v>312.7</v>
      </c>
      <c r="I546" s="9">
        <v>271.89999999999998</v>
      </c>
      <c r="J546" s="9">
        <v>221.5</v>
      </c>
      <c r="K546" s="9">
        <v>185.4</v>
      </c>
      <c r="L546" s="9">
        <v>99.9</v>
      </c>
    </row>
    <row r="547" spans="1:14" x14ac:dyDescent="0.15">
      <c r="A547" s="9">
        <v>1.8</v>
      </c>
      <c r="B547" s="9">
        <v>1317.5</v>
      </c>
      <c r="C547" s="9">
        <v>1040</v>
      </c>
      <c r="D547" s="9">
        <v>801.5</v>
      </c>
      <c r="E547" s="9">
        <v>618.20000000000005</v>
      </c>
      <c r="F547" s="9">
        <v>494.5</v>
      </c>
      <c r="G547" s="9">
        <v>397.4</v>
      </c>
      <c r="H547" s="9">
        <v>335.8</v>
      </c>
      <c r="I547" s="9">
        <v>290.89999999999998</v>
      </c>
      <c r="J547" s="9">
        <v>236.6</v>
      </c>
      <c r="K547" s="9">
        <v>197.6</v>
      </c>
      <c r="L547" s="9">
        <v>105.3</v>
      </c>
    </row>
    <row r="548" spans="1:14" x14ac:dyDescent="0.15">
      <c r="A548" s="9">
        <v>1.75</v>
      </c>
      <c r="B548" s="9">
        <v>1511.3</v>
      </c>
      <c r="C548" s="9">
        <v>1093.4000000000001</v>
      </c>
      <c r="D548" s="9">
        <v>832.3</v>
      </c>
      <c r="E548" s="9">
        <v>642.29999999999995</v>
      </c>
      <c r="F548" s="9">
        <v>505.5</v>
      </c>
      <c r="G548" s="9">
        <v>405.8</v>
      </c>
      <c r="H548" s="9">
        <v>342.4</v>
      </c>
      <c r="I548" s="9">
        <v>296.2</v>
      </c>
      <c r="J548" s="9">
        <v>240.5</v>
      </c>
      <c r="K548" s="9">
        <v>200.3</v>
      </c>
      <c r="L548" s="9">
        <v>106.6</v>
      </c>
    </row>
    <row r="549" spans="1:14" x14ac:dyDescent="0.15">
      <c r="A549" s="9">
        <v>1.7</v>
      </c>
      <c r="B549" s="9">
        <v>1606.8</v>
      </c>
      <c r="C549" s="9">
        <v>1110.0999999999999</v>
      </c>
      <c r="D549" s="9">
        <v>850</v>
      </c>
      <c r="E549" s="9">
        <v>653.29999999999995</v>
      </c>
      <c r="F549" s="9">
        <v>517.9</v>
      </c>
      <c r="G549" s="9">
        <v>414.6</v>
      </c>
      <c r="H549" s="9">
        <v>349.2</v>
      </c>
      <c r="I549" s="9">
        <v>301.8</v>
      </c>
      <c r="J549" s="9">
        <v>244.2</v>
      </c>
      <c r="K549" s="9">
        <v>203.1</v>
      </c>
      <c r="L549" s="9">
        <v>107.8</v>
      </c>
    </row>
    <row r="550" spans="1:14" x14ac:dyDescent="0.15">
      <c r="A550" s="9">
        <v>1.67</v>
      </c>
      <c r="B550" s="9">
        <v>1635.1</v>
      </c>
      <c r="C550" s="9">
        <v>1123</v>
      </c>
      <c r="D550" s="9">
        <v>862</v>
      </c>
      <c r="E550" s="9">
        <v>658.4</v>
      </c>
      <c r="F550" s="9">
        <v>524.20000000000005</v>
      </c>
      <c r="G550" s="9">
        <v>419.3</v>
      </c>
      <c r="H550" s="9">
        <v>352.8</v>
      </c>
      <c r="I550" s="9">
        <v>304.8</v>
      </c>
      <c r="J550" s="9">
        <v>246.4</v>
      </c>
      <c r="K550" s="9">
        <v>204.7</v>
      </c>
      <c r="L550" s="9">
        <v>108.6</v>
      </c>
    </row>
    <row r="551" spans="1:14" x14ac:dyDescent="0.15">
      <c r="A551" s="9">
        <v>1.6</v>
      </c>
      <c r="B551" s="9">
        <v>1747</v>
      </c>
      <c r="C551" s="9">
        <v>1174.2</v>
      </c>
      <c r="D551" s="9">
        <v>866.9</v>
      </c>
      <c r="E551" s="9">
        <v>696.1</v>
      </c>
      <c r="F551" s="9">
        <v>540.4</v>
      </c>
      <c r="G551" s="9">
        <v>431.1</v>
      </c>
      <c r="H551" s="9">
        <v>362</v>
      </c>
      <c r="I551" s="9">
        <v>312.10000000000002</v>
      </c>
      <c r="J551" s="9">
        <v>251.5</v>
      </c>
      <c r="K551" s="9">
        <v>208.5</v>
      </c>
      <c r="L551" s="9">
        <v>110.4</v>
      </c>
    </row>
    <row r="552" spans="1:14" s="35" customFormat="1" x14ac:dyDescent="0.15">
      <c r="A552" s="33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</row>
    <row r="553" spans="1:14" x14ac:dyDescent="0.15">
      <c r="A553" s="30" t="s">
        <v>260</v>
      </c>
      <c r="B553" s="30" t="s">
        <v>40</v>
      </c>
      <c r="C553" s="30" t="s">
        <v>71</v>
      </c>
      <c r="D553" s="30" t="s">
        <v>41</v>
      </c>
      <c r="E553" s="30" t="s">
        <v>199</v>
      </c>
      <c r="F553" s="30" t="s">
        <v>200</v>
      </c>
      <c r="G553" s="30" t="s">
        <v>201</v>
      </c>
      <c r="H553" s="30" t="s">
        <v>202</v>
      </c>
      <c r="I553" s="30" t="s">
        <v>203</v>
      </c>
      <c r="J553" s="30" t="s">
        <v>81</v>
      </c>
      <c r="K553" s="30" t="s">
        <v>204</v>
      </c>
      <c r="L553" s="30" t="s">
        <v>75</v>
      </c>
      <c r="M553" s="30" t="s">
        <v>76</v>
      </c>
    </row>
    <row r="554" spans="1:14" x14ac:dyDescent="0.15">
      <c r="A554" s="9">
        <v>1.85</v>
      </c>
      <c r="B554" s="9">
        <v>1490.1</v>
      </c>
      <c r="C554" s="9">
        <v>1181.9000000000001</v>
      </c>
      <c r="D554" s="9">
        <v>1037</v>
      </c>
      <c r="E554" s="9">
        <v>799.7</v>
      </c>
      <c r="F554" s="9">
        <v>649.4</v>
      </c>
      <c r="G554" s="9">
        <v>495.6</v>
      </c>
      <c r="H554" s="9">
        <v>399.6</v>
      </c>
      <c r="I554" s="9">
        <v>337.8</v>
      </c>
      <c r="J554" s="9">
        <v>293.7</v>
      </c>
      <c r="K554" s="9">
        <v>265.8</v>
      </c>
      <c r="L554" s="9">
        <v>2222.5</v>
      </c>
      <c r="M554" s="9">
        <v>119.9</v>
      </c>
    </row>
    <row r="555" spans="1:14" x14ac:dyDescent="0.15">
      <c r="A555" s="9">
        <v>1.8</v>
      </c>
      <c r="B555" s="9">
        <v>1670.5</v>
      </c>
      <c r="C555" s="9">
        <v>1311.9</v>
      </c>
      <c r="D555" s="9">
        <v>1139.9000000000001</v>
      </c>
      <c r="E555" s="9">
        <v>870</v>
      </c>
      <c r="F555" s="9">
        <v>703</v>
      </c>
      <c r="G555" s="9">
        <v>534.1</v>
      </c>
      <c r="H555" s="9">
        <v>429.2</v>
      </c>
      <c r="I555" s="9">
        <v>362.7</v>
      </c>
      <c r="J555" s="9">
        <v>314.2</v>
      </c>
      <c r="K555" s="9">
        <v>283.89999999999998</v>
      </c>
      <c r="L555" s="9">
        <v>237.1</v>
      </c>
      <c r="M555" s="9">
        <v>126.4</v>
      </c>
    </row>
    <row r="556" spans="1:14" x14ac:dyDescent="0.15">
      <c r="A556" s="9">
        <v>1.75</v>
      </c>
      <c r="B556" s="9">
        <v>1731.2</v>
      </c>
      <c r="C556" s="9">
        <v>1354.8</v>
      </c>
      <c r="D556" s="9">
        <v>1173.7</v>
      </c>
      <c r="E556" s="9">
        <v>893.8</v>
      </c>
      <c r="F556" s="9">
        <v>720.6</v>
      </c>
      <c r="G556" s="9">
        <v>546</v>
      </c>
      <c r="H556" s="9">
        <v>438.3</v>
      </c>
      <c r="I556" s="9">
        <v>369.8</v>
      </c>
      <c r="J556" s="9">
        <v>319.89999999999998</v>
      </c>
      <c r="K556" s="9">
        <v>288.5</v>
      </c>
      <c r="L556" s="9">
        <v>240.4</v>
      </c>
      <c r="M556" s="9">
        <v>127.9</v>
      </c>
    </row>
    <row r="557" spans="1:14" x14ac:dyDescent="0.15">
      <c r="A557" s="9">
        <v>1.7</v>
      </c>
      <c r="B557" s="9">
        <v>1831.8</v>
      </c>
      <c r="C557" s="9">
        <v>1395.1</v>
      </c>
      <c r="D557" s="9">
        <v>1208.4000000000001</v>
      </c>
      <c r="E557" s="9">
        <v>918.5</v>
      </c>
      <c r="F557" s="9">
        <v>739.7</v>
      </c>
      <c r="G557" s="9">
        <v>559.29999999999995</v>
      </c>
      <c r="H557" s="9">
        <v>447.7</v>
      </c>
      <c r="I557" s="9">
        <v>377.1</v>
      </c>
      <c r="J557" s="9">
        <v>325.89999999999998</v>
      </c>
      <c r="K557" s="9">
        <v>293</v>
      </c>
      <c r="L557" s="9">
        <v>243.8</v>
      </c>
      <c r="M557" s="9">
        <v>129.4</v>
      </c>
    </row>
    <row r="558" spans="1:14" x14ac:dyDescent="0.15">
      <c r="A558" s="9">
        <v>1.67</v>
      </c>
      <c r="B558" s="9">
        <v>1939.6</v>
      </c>
      <c r="C558" s="9">
        <v>1419.3</v>
      </c>
      <c r="D558" s="9">
        <v>1227.8</v>
      </c>
      <c r="E558" s="9">
        <v>931.5</v>
      </c>
      <c r="F558" s="9">
        <v>749.4</v>
      </c>
      <c r="G558" s="9">
        <v>566.20000000000005</v>
      </c>
      <c r="H558" s="9">
        <v>452.8</v>
      </c>
      <c r="I558" s="9">
        <v>381</v>
      </c>
      <c r="J558" s="9">
        <v>329.2</v>
      </c>
      <c r="K558" s="9">
        <v>295.7</v>
      </c>
      <c r="L558" s="9">
        <v>245.7</v>
      </c>
      <c r="M558" s="9">
        <v>130.30000000000001</v>
      </c>
    </row>
    <row r="559" spans="1:14" x14ac:dyDescent="0.15">
      <c r="A559" s="9">
        <v>1.6</v>
      </c>
      <c r="B559" s="9">
        <v>1945</v>
      </c>
      <c r="C559" s="9">
        <v>1476.9</v>
      </c>
      <c r="D559" s="9">
        <v>1275.4000000000001</v>
      </c>
      <c r="E559" s="9">
        <v>965.1</v>
      </c>
      <c r="F559" s="9">
        <v>774.9</v>
      </c>
      <c r="G559" s="9">
        <v>583.6</v>
      </c>
      <c r="H559" s="9">
        <v>465.5</v>
      </c>
      <c r="I559" s="9">
        <v>390.9</v>
      </c>
      <c r="J559" s="9">
        <v>337.1</v>
      </c>
      <c r="K559" s="9">
        <v>301.8</v>
      </c>
      <c r="L559" s="9">
        <v>250.2</v>
      </c>
      <c r="M559" s="9">
        <v>132.5</v>
      </c>
    </row>
    <row r="560" spans="1:14" s="35" customFormat="1" x14ac:dyDescent="0.15">
      <c r="A560" s="33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</row>
    <row r="561" spans="1:14" x14ac:dyDescent="0.15">
      <c r="A561" s="30" t="s">
        <v>261</v>
      </c>
      <c r="B561" s="30" t="s">
        <v>40</v>
      </c>
      <c r="C561" s="30" t="s">
        <v>71</v>
      </c>
      <c r="D561" s="30" t="s">
        <v>41</v>
      </c>
      <c r="E561" s="30" t="s">
        <v>199</v>
      </c>
      <c r="F561" s="30" t="s">
        <v>200</v>
      </c>
      <c r="G561" s="30" t="s">
        <v>201</v>
      </c>
      <c r="H561" s="30" t="s">
        <v>202</v>
      </c>
      <c r="I561" s="30" t="s">
        <v>203</v>
      </c>
      <c r="J561" s="30" t="s">
        <v>81</v>
      </c>
      <c r="K561" s="30" t="s">
        <v>204</v>
      </c>
      <c r="L561" s="30" t="s">
        <v>75</v>
      </c>
      <c r="M561" s="30" t="s">
        <v>76</v>
      </c>
    </row>
    <row r="562" spans="1:14" x14ac:dyDescent="0.15">
      <c r="A562" s="9">
        <v>1.85</v>
      </c>
      <c r="B562" s="9">
        <v>1735.3</v>
      </c>
      <c r="C562" s="9">
        <v>1608.8</v>
      </c>
      <c r="D562" s="9">
        <v>1440.3</v>
      </c>
      <c r="E562" s="9">
        <v>1110.7</v>
      </c>
      <c r="F562" s="9">
        <v>901.9</v>
      </c>
      <c r="G562" s="9">
        <v>688.4</v>
      </c>
      <c r="H562" s="9">
        <v>555</v>
      </c>
      <c r="I562" s="9">
        <v>469.1</v>
      </c>
      <c r="J562" s="9">
        <v>407.9</v>
      </c>
      <c r="K562" s="9">
        <v>332.2</v>
      </c>
      <c r="L562" s="9">
        <v>278.2</v>
      </c>
      <c r="M562" s="9">
        <v>149.80000000000001</v>
      </c>
    </row>
    <row r="563" spans="1:14" x14ac:dyDescent="0.15">
      <c r="A563" s="9">
        <v>1.8</v>
      </c>
      <c r="B563" s="9">
        <v>1976</v>
      </c>
      <c r="C563" s="9">
        <v>1748</v>
      </c>
      <c r="D563" s="9">
        <v>1574.5</v>
      </c>
      <c r="E563" s="9">
        <v>1208.3</v>
      </c>
      <c r="F563" s="9">
        <v>976.4</v>
      </c>
      <c r="G563" s="9">
        <v>734.9</v>
      </c>
      <c r="H563" s="9">
        <v>596.1</v>
      </c>
      <c r="I563" s="9">
        <v>503.8</v>
      </c>
      <c r="J563" s="9">
        <v>436.4</v>
      </c>
      <c r="K563" s="9">
        <v>354.9</v>
      </c>
      <c r="L563" s="9">
        <v>296.39999999999998</v>
      </c>
      <c r="M563" s="9">
        <v>157.9</v>
      </c>
    </row>
    <row r="564" spans="1:14" x14ac:dyDescent="0.15">
      <c r="A564" s="9">
        <v>1.75</v>
      </c>
      <c r="B564" s="9">
        <v>2049.6</v>
      </c>
      <c r="C564" s="9">
        <v>1769.1</v>
      </c>
      <c r="D564" s="9">
        <v>1589.9</v>
      </c>
      <c r="E564" s="9">
        <v>1241.4000000000001</v>
      </c>
      <c r="F564" s="9">
        <v>1000.8</v>
      </c>
      <c r="G564" s="9">
        <v>758.3</v>
      </c>
      <c r="H564" s="9">
        <v>608.70000000000005</v>
      </c>
      <c r="I564" s="9">
        <v>513.6</v>
      </c>
      <c r="J564" s="9">
        <v>444.3</v>
      </c>
      <c r="K564" s="9">
        <v>360.7</v>
      </c>
      <c r="L564" s="9">
        <v>300.5</v>
      </c>
      <c r="M564" s="9">
        <v>159.80000000000001</v>
      </c>
    </row>
    <row r="565" spans="1:14" x14ac:dyDescent="0.15">
      <c r="A565" s="9">
        <v>1.7</v>
      </c>
      <c r="B565" s="9">
        <v>2161.6999999999998</v>
      </c>
      <c r="C565" s="9">
        <v>1856.6</v>
      </c>
      <c r="D565" s="9">
        <v>1641.3</v>
      </c>
      <c r="E565" s="9">
        <v>1275.7</v>
      </c>
      <c r="F565" s="9">
        <v>1027.4000000000001</v>
      </c>
      <c r="G565" s="9">
        <v>776.8</v>
      </c>
      <c r="H565" s="9">
        <v>621.79999999999995</v>
      </c>
      <c r="I565" s="9">
        <v>523.79999999999995</v>
      </c>
      <c r="J565" s="9">
        <v>452.7</v>
      </c>
      <c r="K565" s="9">
        <v>366.3</v>
      </c>
      <c r="L565" s="9">
        <v>304.7</v>
      </c>
      <c r="M565" s="9">
        <v>161.69999999999999</v>
      </c>
    </row>
    <row r="566" spans="1:14" x14ac:dyDescent="0.15">
      <c r="A566" s="9">
        <v>1.67</v>
      </c>
      <c r="B566" s="9">
        <v>2199.8000000000002</v>
      </c>
      <c r="C566" s="9">
        <v>1946.7</v>
      </c>
      <c r="D566" s="9">
        <v>1692</v>
      </c>
      <c r="E566" s="9">
        <v>1293.8</v>
      </c>
      <c r="F566" s="9">
        <v>1040.9000000000001</v>
      </c>
      <c r="G566" s="9">
        <v>786.4</v>
      </c>
      <c r="H566" s="9">
        <v>628.9</v>
      </c>
      <c r="I566" s="9">
        <v>529.20000000000005</v>
      </c>
      <c r="J566" s="9">
        <v>457.3</v>
      </c>
      <c r="K566" s="9">
        <v>369.6</v>
      </c>
      <c r="L566" s="9">
        <v>307.10000000000002</v>
      </c>
      <c r="M566" s="9">
        <v>162.80000000000001</v>
      </c>
    </row>
    <row r="567" spans="1:14" x14ac:dyDescent="0.15">
      <c r="A567" s="9">
        <v>1.6</v>
      </c>
      <c r="B567" s="9">
        <v>2221.1</v>
      </c>
      <c r="C567" s="9">
        <v>2010.2</v>
      </c>
      <c r="D567" s="9">
        <v>1737.6</v>
      </c>
      <c r="E567" s="9">
        <v>1340.4</v>
      </c>
      <c r="F567" s="9">
        <v>1076.3</v>
      </c>
      <c r="G567" s="9">
        <v>810.5</v>
      </c>
      <c r="H567" s="9">
        <v>646.6</v>
      </c>
      <c r="I567" s="9">
        <v>543</v>
      </c>
      <c r="J567" s="9">
        <v>468.2</v>
      </c>
      <c r="K567" s="9">
        <v>377.2</v>
      </c>
      <c r="L567" s="9">
        <v>312.8</v>
      </c>
      <c r="M567" s="9">
        <v>165.6</v>
      </c>
    </row>
    <row r="568" spans="1:14" s="35" customFormat="1" x14ac:dyDescent="0.15">
      <c r="A568" s="33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</row>
    <row r="569" spans="1:14" x14ac:dyDescent="0.15">
      <c r="A569" s="30" t="s">
        <v>262</v>
      </c>
      <c r="B569" s="30" t="s">
        <v>40</v>
      </c>
      <c r="C569" s="30" t="s">
        <v>71</v>
      </c>
      <c r="D569" s="30" t="s">
        <v>41</v>
      </c>
      <c r="E569" s="30" t="s">
        <v>199</v>
      </c>
      <c r="F569" s="30" t="s">
        <v>200</v>
      </c>
      <c r="G569" s="30" t="s">
        <v>201</v>
      </c>
      <c r="H569" s="30" t="s">
        <v>202</v>
      </c>
      <c r="I569" s="30" t="s">
        <v>203</v>
      </c>
      <c r="J569" s="30" t="s">
        <v>81</v>
      </c>
      <c r="K569" s="30" t="s">
        <v>204</v>
      </c>
      <c r="L569" s="30" t="s">
        <v>75</v>
      </c>
      <c r="M569" s="30" t="s">
        <v>76</v>
      </c>
    </row>
    <row r="570" spans="1:14" x14ac:dyDescent="0.15">
      <c r="A570" s="9">
        <v>1.85</v>
      </c>
      <c r="B570" s="9">
        <v>2313.9</v>
      </c>
      <c r="C570" s="9">
        <v>2134.1</v>
      </c>
      <c r="D570" s="9">
        <v>1872.4</v>
      </c>
      <c r="E570" s="9">
        <v>1481</v>
      </c>
      <c r="F570" s="9">
        <v>1202.5999999999999</v>
      </c>
      <c r="G570" s="9">
        <v>917.8</v>
      </c>
      <c r="H570" s="9">
        <v>739.9</v>
      </c>
      <c r="I570" s="9">
        <v>625.5</v>
      </c>
      <c r="J570" s="9">
        <v>543.79999999999995</v>
      </c>
      <c r="K570" s="9">
        <v>442.9</v>
      </c>
      <c r="L570" s="9">
        <v>370.9</v>
      </c>
      <c r="M570" s="9">
        <v>199.8</v>
      </c>
    </row>
    <row r="571" spans="1:14" x14ac:dyDescent="0.15">
      <c r="A571" s="9">
        <v>1.8</v>
      </c>
      <c r="B571" s="9">
        <v>2634.7</v>
      </c>
      <c r="C571" s="9">
        <v>2368.8000000000002</v>
      </c>
      <c r="D571" s="9">
        <v>2058.1999999999998</v>
      </c>
      <c r="E571" s="9">
        <v>1611.1</v>
      </c>
      <c r="F571" s="9">
        <v>1301.8</v>
      </c>
      <c r="G571" s="9">
        <v>989</v>
      </c>
      <c r="H571" s="9">
        <v>794.8</v>
      </c>
      <c r="I571" s="9">
        <v>671.7</v>
      </c>
      <c r="J571" s="9">
        <v>581.79999999999995</v>
      </c>
      <c r="K571" s="9">
        <v>473.2</v>
      </c>
      <c r="L571" s="9">
        <v>395.2</v>
      </c>
      <c r="M571" s="9">
        <v>210.6</v>
      </c>
    </row>
    <row r="572" spans="1:14" x14ac:dyDescent="0.15">
      <c r="A572" s="9">
        <v>1.75</v>
      </c>
      <c r="B572" s="9">
        <v>2732.8</v>
      </c>
      <c r="C572" s="9">
        <v>2446.1</v>
      </c>
      <c r="D572" s="9">
        <v>2119.1999999999998</v>
      </c>
      <c r="E572" s="9">
        <v>1655.1</v>
      </c>
      <c r="F572" s="9">
        <v>1334.4</v>
      </c>
      <c r="G572" s="9">
        <v>1011</v>
      </c>
      <c r="H572" s="9">
        <v>811.6</v>
      </c>
      <c r="I572" s="9">
        <v>684.8</v>
      </c>
      <c r="J572" s="9">
        <v>592.29999999999995</v>
      </c>
      <c r="K572" s="9">
        <v>480.9</v>
      </c>
      <c r="L572" s="9">
        <v>400.7</v>
      </c>
      <c r="M572" s="9">
        <v>213.1</v>
      </c>
    </row>
    <row r="573" spans="1:14" x14ac:dyDescent="0.15">
      <c r="A573" s="9">
        <v>1.7</v>
      </c>
      <c r="B573" s="9">
        <v>2882.4</v>
      </c>
      <c r="C573" s="9">
        <v>2519</v>
      </c>
      <c r="D573" s="9">
        <v>2181.9</v>
      </c>
      <c r="E573" s="9">
        <v>1700.9</v>
      </c>
      <c r="F573" s="9">
        <v>1369.8</v>
      </c>
      <c r="G573" s="9">
        <v>1035.8</v>
      </c>
      <c r="H573" s="9">
        <v>829.1</v>
      </c>
      <c r="I573" s="9">
        <v>698.4</v>
      </c>
      <c r="J573" s="9">
        <v>603.6</v>
      </c>
      <c r="K573" s="9">
        <v>488.4</v>
      </c>
      <c r="L573" s="9">
        <v>406.3</v>
      </c>
      <c r="M573" s="9">
        <v>215.6</v>
      </c>
    </row>
    <row r="574" spans="1:14" x14ac:dyDescent="0.15">
      <c r="A574" s="9">
        <v>1.67</v>
      </c>
      <c r="B574" s="9">
        <v>2933.1</v>
      </c>
      <c r="C574" s="9">
        <v>2562.6999999999998</v>
      </c>
      <c r="D574" s="9">
        <v>2216.8000000000002</v>
      </c>
      <c r="E574" s="9">
        <v>1725</v>
      </c>
      <c r="F574" s="9">
        <v>1387.8</v>
      </c>
      <c r="G574" s="9">
        <v>1048.5</v>
      </c>
      <c r="H574" s="9">
        <v>838.6</v>
      </c>
      <c r="I574" s="9">
        <v>705.5</v>
      </c>
      <c r="J574" s="9">
        <v>609.70000000000005</v>
      </c>
      <c r="K574" s="9">
        <v>492.8</v>
      </c>
      <c r="L574" s="9">
        <v>409.4</v>
      </c>
      <c r="M574" s="9">
        <v>217.1</v>
      </c>
    </row>
    <row r="575" spans="1:14" x14ac:dyDescent="0.15">
      <c r="A575" s="9">
        <v>1.6</v>
      </c>
      <c r="B575" s="9">
        <v>2961.5</v>
      </c>
      <c r="C575" s="9">
        <v>2666.6</v>
      </c>
      <c r="D575" s="9">
        <v>2302.8000000000002</v>
      </c>
      <c r="E575" s="9">
        <v>1787.1</v>
      </c>
      <c r="F575" s="9">
        <v>1435.1</v>
      </c>
      <c r="G575" s="9">
        <v>1080.7</v>
      </c>
      <c r="H575" s="9">
        <v>862.1</v>
      </c>
      <c r="I575" s="9">
        <v>724</v>
      </c>
      <c r="J575" s="9">
        <v>624.20000000000005</v>
      </c>
      <c r="K575" s="9">
        <v>502.9</v>
      </c>
      <c r="L575" s="9">
        <v>417</v>
      </c>
      <c r="M575" s="9">
        <v>220.8</v>
      </c>
    </row>
    <row r="577" spans="1:14" x14ac:dyDescent="0.15">
      <c r="A577" s="30" t="s">
        <v>279</v>
      </c>
      <c r="B577" s="30" t="s">
        <v>40</v>
      </c>
      <c r="C577" s="30" t="s">
        <v>71</v>
      </c>
      <c r="D577" s="30" t="s">
        <v>41</v>
      </c>
      <c r="E577" s="30" t="s">
        <v>199</v>
      </c>
      <c r="F577" s="30" t="s">
        <v>200</v>
      </c>
      <c r="G577" s="30" t="s">
        <v>201</v>
      </c>
      <c r="H577" s="30" t="s">
        <v>202</v>
      </c>
      <c r="I577" s="30" t="s">
        <v>203</v>
      </c>
      <c r="J577" s="30" t="s">
        <v>81</v>
      </c>
      <c r="K577" s="30" t="s">
        <v>204</v>
      </c>
      <c r="L577" s="30" t="s">
        <v>75</v>
      </c>
      <c r="M577" s="30" t="s">
        <v>76</v>
      </c>
    </row>
    <row r="578" spans="1:14" x14ac:dyDescent="0.15">
      <c r="A578" s="9">
        <v>1.85</v>
      </c>
      <c r="B578" s="9">
        <v>3470.8</v>
      </c>
      <c r="C578" s="9">
        <v>3217.5</v>
      </c>
      <c r="D578" s="9">
        <v>2880.6</v>
      </c>
      <c r="E578" s="9">
        <v>2221.5</v>
      </c>
      <c r="F578" s="9">
        <v>1803.9</v>
      </c>
      <c r="G578" s="9">
        <v>1376.7</v>
      </c>
      <c r="H578" s="9">
        <v>1109.9000000000001</v>
      </c>
      <c r="I578" s="9">
        <v>938.2</v>
      </c>
      <c r="J578" s="9">
        <v>815.7</v>
      </c>
      <c r="K578" s="9">
        <v>664.4</v>
      </c>
      <c r="L578" s="9">
        <v>556.29999999999995</v>
      </c>
      <c r="M578" s="9">
        <v>299.60000000000002</v>
      </c>
    </row>
    <row r="579" spans="1:14" x14ac:dyDescent="0.15">
      <c r="A579" s="9">
        <v>1.8</v>
      </c>
      <c r="B579" s="9">
        <v>3952.1</v>
      </c>
      <c r="C579" s="9">
        <v>3496</v>
      </c>
      <c r="D579" s="9">
        <v>3149</v>
      </c>
      <c r="E579" s="9">
        <v>2416.6999999999998</v>
      </c>
      <c r="F579" s="9">
        <v>1952.7</v>
      </c>
      <c r="G579" s="9">
        <v>1469.8</v>
      </c>
      <c r="H579" s="9">
        <v>1192.2</v>
      </c>
      <c r="I579" s="9">
        <v>1007.5</v>
      </c>
      <c r="J579" s="9">
        <v>872.7</v>
      </c>
      <c r="K579" s="9">
        <v>709.9</v>
      </c>
      <c r="L579" s="9">
        <v>592.79999999999995</v>
      </c>
      <c r="M579" s="9">
        <v>315.89999999999998</v>
      </c>
    </row>
    <row r="580" spans="1:14" x14ac:dyDescent="0.15">
      <c r="A580" s="9">
        <v>1.75</v>
      </c>
      <c r="B580" s="9">
        <v>4099.3</v>
      </c>
      <c r="C580" s="9">
        <v>3538.3</v>
      </c>
      <c r="D580" s="9">
        <v>3179.8</v>
      </c>
      <c r="E580" s="9">
        <v>2482.6999999999998</v>
      </c>
      <c r="F580" s="9">
        <v>2001.5</v>
      </c>
      <c r="G580" s="9">
        <v>1516.6</v>
      </c>
      <c r="H580" s="9">
        <v>1217.4000000000001</v>
      </c>
      <c r="I580" s="9">
        <v>1027.2</v>
      </c>
      <c r="J580" s="9">
        <v>888.5</v>
      </c>
      <c r="K580" s="9">
        <v>721.4</v>
      </c>
      <c r="L580" s="9">
        <v>601</v>
      </c>
      <c r="M580" s="9">
        <v>319.7</v>
      </c>
    </row>
    <row r="581" spans="1:14" x14ac:dyDescent="0.15">
      <c r="A581" s="9">
        <v>1.7</v>
      </c>
      <c r="B581" s="9">
        <v>4323.6000000000004</v>
      </c>
      <c r="C581" s="9">
        <v>3713.2</v>
      </c>
      <c r="D581" s="9">
        <v>3282.5</v>
      </c>
      <c r="E581" s="9">
        <v>2551.3000000000002</v>
      </c>
      <c r="F581" s="9">
        <v>2054.6999999999998</v>
      </c>
      <c r="G581" s="9">
        <v>1553.7</v>
      </c>
      <c r="H581" s="9">
        <v>1243.7</v>
      </c>
      <c r="I581" s="9">
        <v>1047.5999999999999</v>
      </c>
      <c r="J581" s="9">
        <v>905.4</v>
      </c>
      <c r="K581" s="9">
        <v>732.6</v>
      </c>
      <c r="L581" s="9">
        <v>609.4</v>
      </c>
      <c r="M581" s="9">
        <v>323.39999999999998</v>
      </c>
    </row>
    <row r="582" spans="1:14" x14ac:dyDescent="0.15">
      <c r="A582" s="9">
        <v>1.67</v>
      </c>
      <c r="B582" s="9">
        <v>4399.6000000000004</v>
      </c>
      <c r="C582" s="9">
        <v>3893.3</v>
      </c>
      <c r="D582" s="9">
        <v>3384</v>
      </c>
      <c r="E582" s="9">
        <v>2587.5</v>
      </c>
      <c r="F582" s="9">
        <v>2081.6999999999998</v>
      </c>
      <c r="G582" s="9">
        <v>1572.7</v>
      </c>
      <c r="H582" s="9">
        <v>1257.9000000000001</v>
      </c>
      <c r="I582" s="9">
        <v>1058.3</v>
      </c>
      <c r="J582" s="9">
        <v>914.5</v>
      </c>
      <c r="K582" s="9">
        <v>739.3</v>
      </c>
      <c r="L582" s="9">
        <v>614.1</v>
      </c>
      <c r="M582" s="9">
        <v>325.7</v>
      </c>
    </row>
    <row r="583" spans="1:14" x14ac:dyDescent="0.15">
      <c r="A583" s="9">
        <v>1.6</v>
      </c>
      <c r="B583" s="9">
        <v>4442.3</v>
      </c>
      <c r="C583" s="9">
        <v>4020.4</v>
      </c>
      <c r="D583" s="9">
        <v>3475.2</v>
      </c>
      <c r="E583" s="9">
        <v>2680.7</v>
      </c>
      <c r="F583" s="9">
        <v>2152.6</v>
      </c>
      <c r="G583" s="9">
        <v>1621.1</v>
      </c>
      <c r="H583" s="9">
        <v>1293.2</v>
      </c>
      <c r="I583" s="9">
        <v>1086</v>
      </c>
      <c r="J583" s="9">
        <v>936.3</v>
      </c>
      <c r="K583" s="9">
        <v>754.4</v>
      </c>
      <c r="L583" s="9">
        <v>625.5</v>
      </c>
      <c r="M583" s="9">
        <v>331.1</v>
      </c>
    </row>
    <row r="584" spans="1:14" s="35" customFormat="1" x14ac:dyDescent="0.15">
      <c r="A584" s="33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</row>
  </sheetData>
  <phoneticPr fontId="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E691E2-B1C7-4753-A342-7680FE0C28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92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12V电池选型</vt:lpstr>
      <vt:lpstr>2V电池选型</vt:lpstr>
      <vt:lpstr>UPS</vt:lpstr>
      <vt:lpstr>断路器</vt:lpstr>
      <vt:lpstr>数据表</vt:lpstr>
    </vt:vector>
  </TitlesOfParts>
  <Company>Microsoft 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黄锡元</dc:creator>
  <cp:lastModifiedBy>川川 陈</cp:lastModifiedBy>
  <cp:lastPrinted>2023-02-03T01:22:53Z</cp:lastPrinted>
  <dcterms:created xsi:type="dcterms:W3CDTF">2005-07-03T07:06:49Z</dcterms:created>
  <dcterms:modified xsi:type="dcterms:W3CDTF">2026-03-14T07:11:51Z</dcterms:modified>
</cp:coreProperties>
</file>