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7E9039E-36C3-4D70-B131-364BAF5200D1}" xr6:coauthVersionLast="47" xr6:coauthVersionMax="47" xr10:uidLastSave="{00000000-0000-0000-0000-000000000000}"/>
  <bookViews>
    <workbookView xWindow="-110" yWindow="-110" windowWidth="25820" windowHeight="15620" activeTab="9" xr2:uid="{00000000-000D-0000-FFFF-FFFF00000000}"/>
  </bookViews>
  <sheets>
    <sheet name="太行UR" sheetId="3" r:id="rId1"/>
    <sheet name="UR泰尔" sheetId="9" r:id="rId2"/>
    <sheet name="昆仑UE" sheetId="4" r:id="rId3"/>
    <sheet name="UE泰尔" sheetId="10" r:id="rId4"/>
    <sheet name="祁连UM" sheetId="2" r:id="rId5"/>
    <sheet name="UM泰尔" sheetId="11" r:id="rId6"/>
    <sheet name="泰山UT" sheetId="5" r:id="rId7"/>
    <sheet name="UT泰尔" sheetId="12" r:id="rId8"/>
    <sheet name="电池泰尔" sheetId="13" r:id="rId9"/>
    <sheet name="配置计算公式" sheetId="8" r:id="rId10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8" l="1"/>
  <c r="L31" i="8"/>
  <c r="K31" i="8"/>
  <c r="J31" i="8"/>
  <c r="I31" i="8"/>
  <c r="H31" i="8"/>
  <c r="G31" i="8"/>
  <c r="M30" i="8"/>
  <c r="L30" i="8"/>
  <c r="K30" i="8"/>
  <c r="J30" i="8"/>
  <c r="I30" i="8"/>
  <c r="H30" i="8"/>
  <c r="G30" i="8"/>
  <c r="M29" i="8"/>
  <c r="L29" i="8"/>
  <c r="K29" i="8"/>
  <c r="J29" i="8"/>
  <c r="I29" i="8"/>
  <c r="H29" i="8"/>
  <c r="G29" i="8"/>
  <c r="P10" i="8"/>
  <c r="F10" i="8"/>
  <c r="H10" i="8" s="1"/>
  <c r="P9" i="8"/>
  <c r="F9" i="8"/>
  <c r="H9" i="8" s="1"/>
  <c r="P8" i="8"/>
  <c r="F8" i="8"/>
  <c r="H8" i="8" s="1"/>
  <c r="P7" i="8"/>
  <c r="F7" i="8"/>
  <c r="H7" i="8" s="1"/>
  <c r="P6" i="8"/>
  <c r="H6" i="8"/>
  <c r="F6" i="8"/>
  <c r="P5" i="8"/>
  <c r="H5" i="8"/>
  <c r="F5" i="8"/>
  <c r="P4" i="8"/>
  <c r="F4" i="8"/>
  <c r="H4" i="8" s="1"/>
  <c r="P3" i="8"/>
  <c r="F3" i="8"/>
  <c r="H3" i="8" s="1"/>
</calcChain>
</file>

<file path=xl/sharedStrings.xml><?xml version="1.0" encoding="utf-8"?>
<sst xmlns="http://schemas.openxmlformats.org/spreadsheetml/2006/main" count="3754" uniqueCount="599">
  <si>
    <t>序号</t>
  </si>
  <si>
    <t>型号</t>
  </si>
  <si>
    <t>描述</t>
  </si>
  <si>
    <t>功率因数</t>
  </si>
  <si>
    <t>并机数量</t>
  </si>
  <si>
    <t>并机卡</t>
  </si>
  <si>
    <t>并机线</t>
  </si>
  <si>
    <t>LBS</t>
  </si>
  <si>
    <t>电池</t>
  </si>
  <si>
    <t>中性线</t>
  </si>
  <si>
    <t>电池启动</t>
  </si>
  <si>
    <t>高度</t>
  </si>
  <si>
    <t>满载效率</t>
  </si>
  <si>
    <t>输入THDI</t>
  </si>
  <si>
    <t>输出THDU</t>
  </si>
  <si>
    <t>通讯</t>
  </si>
  <si>
    <t>显示屏</t>
  </si>
  <si>
    <t>安装</t>
  </si>
  <si>
    <t>备注</t>
  </si>
  <si>
    <t>泰尔</t>
  </si>
  <si>
    <t>CE</t>
  </si>
  <si>
    <t>CQC节能认证</t>
  </si>
  <si>
    <t>太行 UR-0010SPS</t>
  </si>
  <si>
    <t>太行Power系列1kVA单进单出标机</t>
  </si>
  <si>
    <t>无</t>
  </si>
  <si>
    <t>内置2</t>
  </si>
  <si>
    <t>支持</t>
  </si>
  <si>
    <t>2U</t>
  </si>
  <si>
    <t>2.2%/3.1%</t>
  </si>
  <si>
    <t>0.8%/1.4%</t>
  </si>
  <si>
    <t>可选SNMP卡/Modbus卡/干接点卡（三选一）</t>
  </si>
  <si>
    <t>2.4英寸</t>
  </si>
  <si>
    <t>机架式</t>
  </si>
  <si>
    <t>/</t>
  </si>
  <si>
    <t>√</t>
  </si>
  <si>
    <t>太行 UR-0010SPL</t>
  </si>
  <si>
    <t>太行Power系列1kVA单进单出长机</t>
  </si>
  <si>
    <t>太行 UR-0020SPS</t>
  </si>
  <si>
    <t>太行Power系列2kVA单进单出标机</t>
  </si>
  <si>
    <t>内置4</t>
  </si>
  <si>
    <t>太行 UR-0020SPL</t>
  </si>
  <si>
    <t>太行Power系列2kVA单进单出长机</t>
  </si>
  <si>
    <t>太行 UR-0030SPS</t>
  </si>
  <si>
    <t>太行Power系列3kVA单进单出标机</t>
  </si>
  <si>
    <t>内置6</t>
  </si>
  <si>
    <t>太行 UR-0030SPL</t>
  </si>
  <si>
    <t>太行Power系列3kVA单进单出长机</t>
  </si>
  <si>
    <t>太行 UR-0060SPL</t>
  </si>
  <si>
    <t>太行Power系列6kVA单进单出长机</t>
  </si>
  <si>
    <r>
      <rPr>
        <sz val="11"/>
        <color rgb="FFFF0000"/>
        <rFont val="微软雅黑"/>
        <charset val="134"/>
      </rPr>
      <t>16</t>
    </r>
    <r>
      <rPr>
        <sz val="11"/>
        <color theme="1"/>
        <rFont val="微软雅黑"/>
        <charset val="134"/>
      </rPr>
      <t>-20</t>
    </r>
  </si>
  <si>
    <t>太行 UR-0100SPL</t>
  </si>
  <si>
    <t>太行Power系列10kVA单进单出长机</t>
  </si>
  <si>
    <t>太行 UR-0100NPL</t>
  </si>
  <si>
    <t>太行Power系列10kVA三进单出长机</t>
  </si>
  <si>
    <t>3.1%/3.3%</t>
  </si>
  <si>
    <t>0.8%/2.2%</t>
  </si>
  <si>
    <t>PF：0.8 (16-17节电池 ) / 0.9 (18-19节电池 ) / 1.0 (20节电池 )</t>
  </si>
  <si>
    <t>太行 UR-0150NPL</t>
  </si>
  <si>
    <t>太行Power系列15kVA三进单出长机</t>
  </si>
  <si>
    <t>太行 UR-0200NPL</t>
  </si>
  <si>
    <t>太行Power系列20kVA三进单出长机</t>
  </si>
  <si>
    <t>太行 UR-0100TPL</t>
  </si>
  <si>
    <t>太行Power系列10kVA三三/三单/单单长机</t>
  </si>
  <si>
    <t>0.9(报告1)</t>
  </si>
  <si>
    <t>自带</t>
  </si>
  <si>
    <t>可选3/5/10m</t>
  </si>
  <si>
    <r>
      <rPr>
        <sz val="11"/>
        <color theme="1"/>
        <rFont val="微软雅黑"/>
        <charset val="134"/>
      </rPr>
      <t>30-</t>
    </r>
    <r>
      <rPr>
        <sz val="11"/>
        <color rgb="FFFF0000"/>
        <rFont val="微软雅黑"/>
        <charset val="134"/>
      </rPr>
      <t>32</t>
    </r>
    <r>
      <rPr>
        <sz val="11"/>
        <color theme="1"/>
        <rFont val="微软雅黑"/>
        <charset val="134"/>
      </rPr>
      <t>-50</t>
    </r>
  </si>
  <si>
    <t>有</t>
  </si>
  <si>
    <t>3U</t>
  </si>
  <si>
    <t>SNMP卡/干接点卡（二选一）</t>
  </si>
  <si>
    <t>4.3英寸</t>
  </si>
  <si>
    <t>塔式机架式兼容</t>
  </si>
  <si>
    <t>36 节及以上时输出功率不降额；32-34节时输出功率降额至 90%；30 节时输出功率降额至 80%</t>
  </si>
  <si>
    <t>太行 UR-0150TPL</t>
  </si>
  <si>
    <t>太行Power系列15kVA三三/三单/单单长机</t>
  </si>
  <si>
    <t>太行 UR-0200TPL</t>
  </si>
  <si>
    <t>太行Power系列20kVA三三/三单/单单长机</t>
  </si>
  <si>
    <t>太行 UR-0300TPL</t>
  </si>
  <si>
    <t>太行Power系列30kVA三进三出长机</t>
  </si>
  <si>
    <t>太行 UR-0400TPL</t>
  </si>
  <si>
    <t>太行Power系列40kVA三进三出长机</t>
  </si>
  <si>
    <t>输入电压范围(V)</t>
  </si>
  <si>
    <t>输入功率因数</t>
  </si>
  <si>
    <t>输入频率范围
(Hz)</t>
  </si>
  <si>
    <t>频率跟踪范围(Hz)</t>
  </si>
  <si>
    <t>频率跟踪速率(Hz/s)</t>
  </si>
  <si>
    <t>输出电压稳压精度</t>
  </si>
  <si>
    <t>输出频率</t>
  </si>
  <si>
    <t>输出电压不平衡度</t>
  </si>
  <si>
    <t>动态电压瞬变范围</t>
  </si>
  <si>
    <t>电压瞬变恢复时间(ms)</t>
  </si>
  <si>
    <t>输出电压相位偏差</t>
  </si>
  <si>
    <t>市电电池转换时间</t>
  </si>
  <si>
    <t>旁路逆变转换时间</t>
  </si>
  <si>
    <t>ECO模式转换时间</t>
  </si>
  <si>
    <t>效率</t>
  </si>
  <si>
    <t>输出功率因数</t>
  </si>
  <si>
    <t>输出电流峰值系数</t>
  </si>
  <si>
    <t>过载能力(min)</t>
  </si>
  <si>
    <t>音频噪音
（dB）</t>
  </si>
  <si>
    <t>单相：176~264</t>
  </si>
  <si>
    <t>0.997/0.991/0.986</t>
  </si>
  <si>
    <t>2.2%/3.1%/3.3%</t>
  </si>
  <si>
    <t>48~52可调</t>
  </si>
  <si>
    <t>单相</t>
  </si>
  <si>
    <t>-2.26%/1.71%</t>
  </si>
  <si>
    <t>20/0</t>
  </si>
  <si>
    <t>96.96%/96.31%/96.17%</t>
  </si>
  <si>
    <t>三相：285~476</t>
  </si>
  <si>
    <t>0.996/0.990/0.985</t>
  </si>
  <si>
    <t>3.1%/3.3%/4.7%</t>
  </si>
  <si>
    <t>45~55可调</t>
  </si>
  <si>
    <t>0.19%/0.83%</t>
  </si>
  <si>
    <t>-2.26%/1.53%</t>
  </si>
  <si>
    <t>0.11°</t>
  </si>
  <si>
    <t>97.13%/96.56%/96.11%</t>
  </si>
  <si>
    <t>100%/ 50%/ 30%</t>
  </si>
  <si>
    <t>阻性/非线性</t>
  </si>
  <si>
    <t>平衡/不平衡</t>
  </si>
  <si>
    <t>空→满/满→空</t>
  </si>
  <si>
    <t>逆→旁/旁→逆</t>
  </si>
  <si>
    <t>冷启动</t>
  </si>
  <si>
    <t>主旁不同源</t>
  </si>
  <si>
    <t>走线方式</t>
  </si>
  <si>
    <t>开关品牌</t>
  </si>
  <si>
    <t>抗震</t>
  </si>
  <si>
    <t>昆仑 UE-0010SPS</t>
  </si>
  <si>
    <t>昆仑Power系列1kVA单进单出标机</t>
  </si>
  <si>
    <t>2.7%/3.1%</t>
  </si>
  <si>
    <t>0.8%/2.9%</t>
  </si>
  <si>
    <t>塔式</t>
  </si>
  <si>
    <t>后</t>
  </si>
  <si>
    <t>昆仑 UE-0010SPL</t>
  </si>
  <si>
    <t>昆仑Power系列1kVA单进单出长机</t>
  </si>
  <si>
    <t>昆仑 UE-0020SPS</t>
  </si>
  <si>
    <t>昆仑Power系列2kVA单进单出标机</t>
  </si>
  <si>
    <t>昆仑 UE-0020SPL</t>
  </si>
  <si>
    <t>昆仑Power系列2kVA单进单出长机</t>
  </si>
  <si>
    <t>昆仑 UE-0030SPS</t>
  </si>
  <si>
    <t>昆仑Power系列3kVA单进单出标机</t>
  </si>
  <si>
    <t>昆仑 UE-0030SPL</t>
  </si>
  <si>
    <t>昆仑Power系列3kVA单进单出长机</t>
  </si>
  <si>
    <t>昆仑 UE-0060SPS</t>
  </si>
  <si>
    <t>昆仑Power系列6kVA单进单出标机</t>
  </si>
  <si>
    <t>正泰</t>
  </si>
  <si>
    <t>昆仑 UE-0060SPL</t>
  </si>
  <si>
    <t>昆仑Power系列6kVA单进单出长机</t>
  </si>
  <si>
    <t>昆仑 UE-0100SPS</t>
  </si>
  <si>
    <t>昆仑Power系列10kVA单进单出标机</t>
  </si>
  <si>
    <t>昆仑 UE-0100SPL</t>
  </si>
  <si>
    <t>昆仑Power系列10kVA单进单出长机</t>
  </si>
  <si>
    <t>昆仑 UE-0100NPL</t>
  </si>
  <si>
    <t>昆仑Power系列10kVA三进单出长机</t>
  </si>
  <si>
    <t>2.3%/3.7%</t>
  </si>
  <si>
    <t>0.8%/2.6%</t>
  </si>
  <si>
    <t>昆仑 UE-0150NPL</t>
  </si>
  <si>
    <t>昆仑Power系列15kVA三进单出长机</t>
  </si>
  <si>
    <t>昆仑 UE-0200NPL</t>
  </si>
  <si>
    <t>昆仑Power系列20kVA三进单出长机</t>
  </si>
  <si>
    <t>昆仑 UE-0100TPL</t>
  </si>
  <si>
    <t>昆仑Power系列10kVA三进三出长机</t>
  </si>
  <si>
    <t>1.3%/1.6%</t>
  </si>
  <si>
    <t>0.7%/1.5%</t>
  </si>
  <si>
    <t>可选SNMP卡/干接点卡</t>
  </si>
  <si>
    <t>昆仑 UE-0150TPL</t>
  </si>
  <si>
    <t>昆仑Power系列15kVA三进三出长机</t>
  </si>
  <si>
    <t>昆仑 UE-0200TPL</t>
  </si>
  <si>
    <t>昆仑Power系列20kVA三进三出长机</t>
  </si>
  <si>
    <t>昆仑 UE-0300TPL</t>
  </si>
  <si>
    <t>昆仑Power系列30kVA三进三出长机</t>
  </si>
  <si>
    <t>昆仑 UE-0400TPL</t>
  </si>
  <si>
    <t>昆仑Power系列40kVA三进三出长机</t>
  </si>
  <si>
    <t>昆仑 UE-0600TPL</t>
  </si>
  <si>
    <t>昆仑Power系列60kVA三进三出长机</t>
  </si>
  <si>
    <t>可选5/10/15m</t>
  </si>
  <si>
    <t>昆仑 UE-0800TPL</t>
  </si>
  <si>
    <t>昆仑Power系列80kVA三进三出长机</t>
  </si>
  <si>
    <t>良信</t>
  </si>
  <si>
    <t>昆仑 UE-1000TPL</t>
  </si>
  <si>
    <t>昆仑Power系列100kVA三进三出长机</t>
  </si>
  <si>
    <t>昆仑 UE-1200TPL</t>
  </si>
  <si>
    <t>昆仑Power系列120kVA三进三出长机</t>
  </si>
  <si>
    <t>昆仑 UE-1600TPL</t>
  </si>
  <si>
    <t>昆仑Power系列160kVA三进三出长机</t>
  </si>
  <si>
    <t>昆仑 UE-1800TPL</t>
  </si>
  <si>
    <t>昆仑Power系列180kVA三进三出长机</t>
  </si>
  <si>
    <t>昆仑 UE-2000TPL</t>
  </si>
  <si>
    <t>昆仑Power系列200kVA三进三出长机</t>
  </si>
  <si>
    <t>昆仑UE-2000TAL-1</t>
  </si>
  <si>
    <t>UE 200KVA，只含维修旁路开关</t>
  </si>
  <si>
    <t>可选</t>
  </si>
  <si>
    <r>
      <rPr>
        <sz val="11"/>
        <color theme="1"/>
        <rFont val="微软雅黑"/>
        <charset val="134"/>
      </rPr>
      <t>30-</t>
    </r>
    <r>
      <rPr>
        <sz val="11"/>
        <color rgb="FFFF0000"/>
        <rFont val="微软雅黑"/>
        <charset val="134"/>
      </rPr>
      <t>40</t>
    </r>
    <r>
      <rPr>
        <sz val="11"/>
        <color theme="1"/>
        <rFont val="微软雅黑"/>
        <charset val="134"/>
      </rPr>
      <t>-50</t>
    </r>
  </si>
  <si>
    <t>主旁可分别接线，同一市电</t>
  </si>
  <si>
    <t>1.2%/1.6%</t>
  </si>
  <si>
    <t>0.7%/1.7%</t>
  </si>
  <si>
    <t>自带485接口modbus协议，可选SNMP卡</t>
  </si>
  <si>
    <t>7LCD</t>
  </si>
  <si>
    <t>下（上）</t>
  </si>
  <si>
    <t>溯高美</t>
  </si>
  <si>
    <t xml:space="preserve">昆仑UE-3000TAL-1 </t>
  </si>
  <si>
    <t>UE 300KVA，只含维修旁路开关</t>
  </si>
  <si>
    <t xml:space="preserve">昆仑UE-4000TAL-F-1 </t>
  </si>
  <si>
    <t>UE 400KVA，含 4 个开关-隔离负荷开关</t>
  </si>
  <si>
    <t>上、下</t>
  </si>
  <si>
    <t>昆仑UE-5000TAL-F-1</t>
  </si>
  <si>
    <t>UE 500KVA，含 4 个开关-隔离负荷开关</t>
  </si>
  <si>
    <t>昆仑UE-6000TAL-F-1</t>
  </si>
  <si>
    <t>UE 600KVA，含 4 个开关-隔离负荷开关</t>
  </si>
  <si>
    <t>昆仑UE-8000TAL-F-1</t>
  </si>
  <si>
    <t>UE 800KVA，含 4 个开关-隔离负荷开关</t>
  </si>
  <si>
    <t xml:space="preserve">自带485接口modbus协议，可选SNMP卡 </t>
  </si>
  <si>
    <t>满载</t>
  </si>
  <si>
    <t>满载/半载</t>
  </si>
  <si>
    <t>输入频率范围(Hz)</t>
  </si>
  <si>
    <t>0.995/0.992/0.985</t>
  </si>
  <si>
    <t>2.7%/3.1%/4.8%</t>
  </si>
  <si>
    <t>-1.95%/1.91%</t>
  </si>
  <si>
    <t>0/0</t>
  </si>
  <si>
    <t>96.36%/96.33%/96.78%</t>
  </si>
  <si>
    <t>三相：304~476</t>
  </si>
  <si>
    <t>0.993/0.988/0.982</t>
  </si>
  <si>
    <t>2.3%/3.7%/4.3%</t>
  </si>
  <si>
    <t>-1.60%/1.74%</t>
  </si>
  <si>
    <t>96.14%/96.30%/96.08%</t>
  </si>
  <si>
    <t>0.998/0.992/0.991</t>
  </si>
  <si>
    <t>1.3%/1.6%/2.7%</t>
  </si>
  <si>
    <t>0.17%/0.94%</t>
  </si>
  <si>
    <t>-2.36%/1.91%</t>
  </si>
  <si>
    <t>97.26%/97.36%/96.97%</t>
  </si>
  <si>
    <t>0.999/0.996/0.993</t>
  </si>
  <si>
    <t>1.2%/1.6%/2.7%</t>
  </si>
  <si>
    <t>0.29%/1.51%</t>
  </si>
  <si>
    <t>-2.72%/1.09%</t>
  </si>
  <si>
    <t>97.25%/97.31%/97.02%</t>
  </si>
  <si>
    <t>正常/电池</t>
  </si>
  <si>
    <t>模块高度</t>
  </si>
  <si>
    <t>模块数量</t>
  </si>
  <si>
    <r>
      <rPr>
        <sz val="11"/>
        <color theme="1"/>
        <rFont val="微软雅黑"/>
        <charset val="134"/>
      </rPr>
      <t xml:space="preserve">祁连UM-0900TFL-FS/15
</t>
    </r>
    <r>
      <rPr>
        <sz val="11"/>
        <color rgb="FFFF0000"/>
        <rFont val="微软雅黑"/>
        <charset val="134"/>
      </rPr>
      <t>祁连UM-0150TFL-M</t>
    </r>
  </si>
  <si>
    <t>祁连UM满配90kVA机柜，只含手动维修旁路开关</t>
  </si>
  <si>
    <t>0.8%/1.6%</t>
  </si>
  <si>
    <t>0.6%/1.2%</t>
  </si>
  <si>
    <t>≤6</t>
  </si>
  <si>
    <t>机架/塔式</t>
  </si>
  <si>
    <t>下单前需确定安装方式；32节及以上时输出功率不降额；30～32节电池默认功率因数0.9</t>
  </si>
  <si>
    <r>
      <rPr>
        <sz val="11"/>
        <color theme="1"/>
        <rFont val="微软雅黑"/>
        <charset val="134"/>
      </rPr>
      <t xml:space="preserve">祁连UM-1200TFL-FS/2
</t>
    </r>
    <r>
      <rPr>
        <sz val="11"/>
        <color rgb="FFFF0000"/>
        <rFont val="微软雅黑"/>
        <charset val="134"/>
      </rPr>
      <t>祁连UM-0200TFL-M</t>
    </r>
  </si>
  <si>
    <t>祁连UM满配120kVA 机柜，只含手动维修旁路开关</t>
  </si>
  <si>
    <t>0.8%/1.9%</t>
  </si>
  <si>
    <t>0.7%/1.8%</t>
  </si>
  <si>
    <t>下（如需上走线需配置边柜）</t>
  </si>
  <si>
    <t>36 节及以上时输出功率不降额；34、32 节时输出功率降额至 90%；30 节时输出功率降额至 80%</t>
  </si>
  <si>
    <r>
      <rPr>
        <sz val="11"/>
        <color theme="1"/>
        <rFont val="微软雅黑"/>
        <charset val="134"/>
      </rPr>
      <t xml:space="preserve">祁连UM-1200TFL-FF/2
</t>
    </r>
    <r>
      <rPr>
        <sz val="11"/>
        <color rgb="FFFF0000"/>
        <rFont val="微软雅黑"/>
        <charset val="134"/>
      </rPr>
      <t>祁连UM-0200TFL-M</t>
    </r>
  </si>
  <si>
    <t>祁连UM满配120kVA 机柜，含输入开关、维修旁路开关和输出开关</t>
  </si>
  <si>
    <r>
      <rPr>
        <sz val="11"/>
        <color theme="1"/>
        <rFont val="微软雅黑"/>
        <charset val="134"/>
      </rPr>
      <t xml:space="preserve">祁连UM-2000TFL-FS/2
</t>
    </r>
    <r>
      <rPr>
        <sz val="11"/>
        <color rgb="FFFF0000"/>
        <rFont val="微软雅黑"/>
        <charset val="134"/>
      </rPr>
      <t>祁连UM-0200TFL-M</t>
    </r>
  </si>
  <si>
    <t>祁连UM满配200kVA 机柜，只含手动维修旁路开关</t>
  </si>
  <si>
    <r>
      <rPr>
        <sz val="11"/>
        <color theme="1"/>
        <rFont val="微软雅黑"/>
        <charset val="134"/>
      </rPr>
      <t>≤1</t>
    </r>
    <r>
      <rPr>
        <sz val="11"/>
        <color theme="1"/>
        <rFont val="微软雅黑"/>
        <charset val="134"/>
      </rPr>
      <t>0</t>
    </r>
  </si>
  <si>
    <t>下</t>
  </si>
  <si>
    <r>
      <rPr>
        <sz val="11"/>
        <color theme="1"/>
        <rFont val="微软雅黑"/>
        <charset val="134"/>
      </rPr>
      <t xml:space="preserve">祁连UM-2000TFL-FF/2
</t>
    </r>
    <r>
      <rPr>
        <sz val="11"/>
        <color rgb="FFFF0000"/>
        <rFont val="微软雅黑"/>
        <charset val="134"/>
      </rPr>
      <t>祁连UM-0200TFL-M</t>
    </r>
  </si>
  <si>
    <t>祁连UM满配200kVA 机柜，含输入开关、维修旁路开关和输出开关</t>
  </si>
  <si>
    <r>
      <rPr>
        <sz val="11"/>
        <color theme="1"/>
        <rFont val="微软雅黑"/>
        <charset val="134"/>
      </rPr>
      <t xml:space="preserve">祁连UM-1250TFL-FF
</t>
    </r>
    <r>
      <rPr>
        <sz val="11"/>
        <color rgb="FFFF0000"/>
        <rFont val="微软雅黑"/>
        <charset val="134"/>
      </rPr>
      <t>祁连UM-0250TFL-M</t>
    </r>
  </si>
  <si>
    <t>125kVA 机柜，配置主路输入、旁路输入、输出及维修旁路四个开关</t>
  </si>
  <si>
    <t>0.6%/1.4%</t>
  </si>
  <si>
    <t>≤5</t>
  </si>
  <si>
    <t>上</t>
  </si>
  <si>
    <r>
      <rPr>
        <sz val="11"/>
        <color theme="1"/>
        <rFont val="微软雅黑"/>
        <charset val="134"/>
      </rPr>
      <t xml:space="preserve">祁连UM-1800TFL-FS/3
</t>
    </r>
    <r>
      <rPr>
        <sz val="11"/>
        <color rgb="FFFF0000"/>
        <rFont val="微软雅黑"/>
        <charset val="134"/>
      </rPr>
      <t>祁连UM-0300TFL-M</t>
    </r>
  </si>
  <si>
    <t>祁连UM满配180kVA 机柜，只含手动维修旁路开关</t>
  </si>
  <si>
    <t>1.5%/2.5%</t>
  </si>
  <si>
    <t>0.7%/1.6%</t>
  </si>
  <si>
    <r>
      <rPr>
        <sz val="11"/>
        <color theme="1"/>
        <rFont val="微软雅黑"/>
        <charset val="134"/>
      </rPr>
      <t xml:space="preserve">祁连UM-1800TFL-FF/3
</t>
    </r>
    <r>
      <rPr>
        <sz val="11"/>
        <color rgb="FFFF0000"/>
        <rFont val="微软雅黑"/>
        <charset val="134"/>
      </rPr>
      <t>祁连UM-0300TFL-M</t>
    </r>
  </si>
  <si>
    <t>祁连UM满配180kVA 机柜，含输入开关、维修旁路开关和输出开关</t>
  </si>
  <si>
    <r>
      <rPr>
        <sz val="11"/>
        <color theme="1"/>
        <rFont val="微软雅黑"/>
        <charset val="134"/>
      </rPr>
      <t xml:space="preserve">祁连UM-3000TFL-FS/3
</t>
    </r>
    <r>
      <rPr>
        <sz val="11"/>
        <color rgb="FFFF0000"/>
        <rFont val="微软雅黑"/>
        <charset val="134"/>
      </rPr>
      <t>祁连UM-0300TFL-M</t>
    </r>
  </si>
  <si>
    <t>祁连UM满配300kVA 机柜，只含手动维修旁路开关</t>
  </si>
  <si>
    <r>
      <rPr>
        <sz val="11"/>
        <color theme="1"/>
        <rFont val="微软雅黑"/>
        <charset val="134"/>
      </rPr>
      <t xml:space="preserve">祁连UM-3000TFL-FF/3
</t>
    </r>
    <r>
      <rPr>
        <sz val="11"/>
        <color rgb="FFFF0000"/>
        <rFont val="微软雅黑"/>
        <charset val="134"/>
      </rPr>
      <t>祁连UM-0300TFL-M</t>
    </r>
  </si>
  <si>
    <t>祁连UM满配300kVA 机柜，含输入开关、维修旁路开关和输出开关</t>
  </si>
  <si>
    <r>
      <rPr>
        <sz val="11"/>
        <color theme="1"/>
        <rFont val="微软雅黑"/>
        <charset val="134"/>
      </rPr>
      <t xml:space="preserve">祁连UM-2000TAL-FS/5-1
</t>
    </r>
    <r>
      <rPr>
        <sz val="11"/>
        <color rgb="FFFF0000"/>
        <rFont val="微软雅黑"/>
        <charset val="134"/>
      </rPr>
      <t>祁连UM-0500TFL-M</t>
    </r>
  </si>
  <si>
    <t>祁连UM200kVA机柜，只含维修旁路开关</t>
  </si>
  <si>
    <t>1.1%/2.0%</t>
  </si>
  <si>
    <t>0.9%/1.4%</t>
  </si>
  <si>
    <t>≤4</t>
  </si>
  <si>
    <t>下(可选上走线，成本不变，下单前非标)</t>
  </si>
  <si>
    <r>
      <rPr>
        <sz val="11"/>
        <color theme="1"/>
        <rFont val="微软雅黑"/>
        <charset val="134"/>
      </rPr>
      <t xml:space="preserve">祁连UM-3000TAL-FS/5-1
</t>
    </r>
    <r>
      <rPr>
        <sz val="11"/>
        <color rgb="FFFF0000"/>
        <rFont val="微软雅黑"/>
        <charset val="134"/>
      </rPr>
      <t>祁连UM-0500TFL-M</t>
    </r>
  </si>
  <si>
    <t>祁连UM300kVA机柜，只含维修旁路开关</t>
  </si>
  <si>
    <r>
      <rPr>
        <sz val="11"/>
        <color theme="1"/>
        <rFont val="微软雅黑"/>
        <charset val="134"/>
      </rPr>
      <t xml:space="preserve">祁连UM-4000TAL-FF/5-1
</t>
    </r>
    <r>
      <rPr>
        <sz val="11"/>
        <color rgb="FFFF0000"/>
        <rFont val="微软雅黑"/>
        <charset val="134"/>
      </rPr>
      <t>祁连UM-0500TFL-M</t>
    </r>
  </si>
  <si>
    <t>祁连UM满配400kVA机柜，含4开关-隔离负荷开关</t>
  </si>
  <si>
    <t>≤8</t>
  </si>
  <si>
    <r>
      <rPr>
        <sz val="11"/>
        <color theme="1"/>
        <rFont val="微软雅黑"/>
        <charset val="134"/>
      </rPr>
      <t xml:space="preserve">祁连UM-5000TAL-FF/5-1
</t>
    </r>
    <r>
      <rPr>
        <sz val="11"/>
        <color rgb="FFFF0000"/>
        <rFont val="微软雅黑"/>
        <charset val="134"/>
      </rPr>
      <t>祁连UM-0500TFL-M</t>
    </r>
  </si>
  <si>
    <t>祁连UM满配500kVA机柜，含4开关-隔离负荷开关</t>
  </si>
  <si>
    <t>≤10</t>
  </si>
  <si>
    <r>
      <rPr>
        <sz val="11"/>
        <color theme="1"/>
        <rFont val="微软雅黑"/>
        <charset val="134"/>
      </rPr>
      <t xml:space="preserve">祁连UM-6000TAL-FF/5-1
</t>
    </r>
    <r>
      <rPr>
        <sz val="11"/>
        <color rgb="FFFF0000"/>
        <rFont val="微软雅黑"/>
        <charset val="134"/>
      </rPr>
      <t>祁连UM-0500TFL-M</t>
    </r>
  </si>
  <si>
    <t>祁连UM满配600kVA机柜，含4开关-隔离负荷开关</t>
  </si>
  <si>
    <t>≤12</t>
  </si>
  <si>
    <r>
      <rPr>
        <sz val="11"/>
        <color theme="1"/>
        <rFont val="微软雅黑"/>
        <charset val="134"/>
      </rPr>
      <t xml:space="preserve">祁连UM-8000TAL-FF/5-1
</t>
    </r>
    <r>
      <rPr>
        <sz val="11"/>
        <color rgb="FFFF0000"/>
        <rFont val="微软雅黑"/>
        <charset val="134"/>
      </rPr>
      <t>祁连UM-0500TFL-M</t>
    </r>
  </si>
  <si>
    <t>祁连UM满配800kVA机柜，含4开关-隔离负荷开关</t>
  </si>
  <si>
    <t>≤16</t>
  </si>
  <si>
    <r>
      <rPr>
        <sz val="11"/>
        <color theme="1"/>
        <rFont val="微软雅黑"/>
        <charset val="134"/>
      </rPr>
      <t xml:space="preserve">祁连UM-3000TFL-FS/100
祁连UM-3000TFL-FF/100
祁连UM-3000TFL-F/100
</t>
    </r>
    <r>
      <rPr>
        <sz val="11"/>
        <color rgb="FFFF0000"/>
        <rFont val="微软雅黑"/>
        <charset val="134"/>
      </rPr>
      <t>祁连UM-1000TFL-M</t>
    </r>
  </si>
  <si>
    <t>祁连UM系列300kVA机框，含单开关/四开关/无开关</t>
  </si>
  <si>
    <t>0.7%/1.2%</t>
  </si>
  <si>
    <t>0.5%/1.0%</t>
  </si>
  <si>
    <t>10LCD</t>
  </si>
  <si>
    <t>≤3</t>
  </si>
  <si>
    <r>
      <rPr>
        <sz val="11"/>
        <color theme="1"/>
        <rFont val="微软雅黑"/>
        <charset val="134"/>
      </rPr>
      <t xml:space="preserve">祁连UM-4000TFL-FS/100
祁连UM-4000TFL-FF/100
祁连UM-4000TFL-F/100
</t>
    </r>
    <r>
      <rPr>
        <sz val="11"/>
        <color rgb="FFFF0000"/>
        <rFont val="微软雅黑"/>
        <charset val="134"/>
      </rPr>
      <t>祁连UM-1000TFL-M</t>
    </r>
  </si>
  <si>
    <t>祁连UM系列400kVA机框，含单开关/四开关/无开关</t>
  </si>
  <si>
    <r>
      <rPr>
        <sz val="11"/>
        <color theme="1"/>
        <rFont val="微软雅黑"/>
        <charset val="134"/>
      </rPr>
      <t xml:space="preserve">祁连UM-5000TFL-FS/100
祁连UM-5000TFL-FF/100
祁连UM-5000TFL-F/100
</t>
    </r>
    <r>
      <rPr>
        <sz val="11"/>
        <color rgb="FFFF0000"/>
        <rFont val="微软雅黑"/>
        <charset val="134"/>
      </rPr>
      <t>祁连UM-1000TFL-M</t>
    </r>
  </si>
  <si>
    <t>祁连UM系列500kVA机框，含单开关/四开关/无开关</t>
  </si>
  <si>
    <r>
      <rPr>
        <sz val="11"/>
        <color theme="1"/>
        <rFont val="微软雅黑"/>
        <charset val="134"/>
      </rPr>
      <t xml:space="preserve">祁连UM-6000TFL-FS/100
祁连UM-6000TFL-FF/100
祁连UM-6000TFL-F/100
</t>
    </r>
    <r>
      <rPr>
        <sz val="11"/>
        <color rgb="FFFF0000"/>
        <rFont val="微软雅黑"/>
        <charset val="134"/>
      </rPr>
      <t>祁连UM-1000TFL-M</t>
    </r>
  </si>
  <si>
    <t>祁连UM系列600kVA机框，含单开关/四开关/无开关</t>
  </si>
  <si>
    <r>
      <rPr>
        <sz val="11"/>
        <color theme="1"/>
        <rFont val="微软雅黑"/>
        <charset val="134"/>
      </rPr>
      <t xml:space="preserve">祁连UM-8000TFL-FS/100
祁连UM-8000TFL-FF/100
祁连UM-8000TFL-F/100
</t>
    </r>
    <r>
      <rPr>
        <sz val="11"/>
        <color rgb="FFFF0000"/>
        <rFont val="微软雅黑"/>
        <charset val="134"/>
      </rPr>
      <t>祁连UM-1000TFL-M</t>
    </r>
  </si>
  <si>
    <t>祁连UM系列800kVA机框，含单开关/四开关/无开关</t>
  </si>
  <si>
    <r>
      <rPr>
        <sz val="11"/>
        <color theme="1"/>
        <rFont val="微软雅黑"/>
        <charset val="134"/>
      </rPr>
      <t xml:space="preserve">祁连UM-10000TFL-FS/100
祁连UM-10000TFL-FF/100
</t>
    </r>
    <r>
      <rPr>
        <sz val="11"/>
        <color rgb="FFFF0000"/>
        <rFont val="微软雅黑"/>
        <charset val="134"/>
      </rPr>
      <t>祁连UM-1000TFL-M</t>
    </r>
  </si>
  <si>
    <t>祁连UM系列1000kVA机框，含单开关/四开关</t>
  </si>
  <si>
    <r>
      <rPr>
        <sz val="11"/>
        <color theme="1"/>
        <rFont val="微软雅黑"/>
        <charset val="134"/>
      </rPr>
      <t xml:space="preserve">祁连UM-12000TFL-FS/100
祁连UM-12000TFL-FF/100
</t>
    </r>
    <r>
      <rPr>
        <sz val="11"/>
        <color rgb="FFFF0000"/>
        <rFont val="微软雅黑"/>
        <charset val="134"/>
      </rPr>
      <t>祁连UM-1000TFL-M</t>
    </r>
  </si>
  <si>
    <t>祁连UM系列1200kVA机框，含单开关/四开关</t>
  </si>
  <si>
    <r>
      <rPr>
        <sz val="11"/>
        <color theme="1"/>
        <rFont val="微软雅黑"/>
        <charset val="134"/>
      </rPr>
      <t xml:space="preserve">祁连UM-0900TFL-D
</t>
    </r>
    <r>
      <rPr>
        <sz val="11"/>
        <color rgb="FFFF0000"/>
        <rFont val="微软雅黑"/>
        <charset val="134"/>
      </rPr>
      <t>祁连UM-0150TFL-M</t>
    </r>
  </si>
  <si>
    <t>祁连UM一体化UPS-90KVA双路输入（ATS）-含UPS 输入输出-4 路空调-3 路照明-40 路 IT 配电</t>
  </si>
  <si>
    <t>不支持</t>
  </si>
  <si>
    <t>国产</t>
  </si>
  <si>
    <r>
      <rPr>
        <sz val="11"/>
        <color theme="1"/>
        <rFont val="微软雅黑"/>
        <charset val="134"/>
      </rPr>
      <t xml:space="preserve">祁连UM-0900TFL-S
</t>
    </r>
    <r>
      <rPr>
        <sz val="11"/>
        <color rgb="FFFF0000"/>
        <rFont val="微软雅黑"/>
        <charset val="134"/>
      </rPr>
      <t>祁连UM-0150TFL-M</t>
    </r>
  </si>
  <si>
    <t>祁连UM一体化UPS-90KVA单路输入（MCCB）-含UPS 输入输出-4 路空调-3 路照明-40 路 IT 配电</t>
  </si>
  <si>
    <r>
      <rPr>
        <sz val="11"/>
        <color theme="1"/>
        <rFont val="微软雅黑"/>
        <charset val="134"/>
      </rPr>
      <t xml:space="preserve">祁连UM-1250TFL-D
</t>
    </r>
    <r>
      <rPr>
        <sz val="11"/>
        <color rgb="FFFF0000"/>
        <rFont val="微软雅黑"/>
        <charset val="134"/>
      </rPr>
      <t>祁连UM-0250TFL-M
祁连UM-0300TFL-M</t>
    </r>
  </si>
  <si>
    <t>祁连UM一体化UPS-125KVA双路输入（ATS）-含UPS 输入输出-8 路空调-3 路照明-48 路 IT 配电</t>
  </si>
  <si>
    <t>25k:97.11%
30k:97.04%</t>
  </si>
  <si>
    <t>25k:1.3%/1.6%
30k:1.5%/2.5%</t>
  </si>
  <si>
    <t>25k:0.6%/1.4%
30k:0.7%/1.6%</t>
  </si>
  <si>
    <t>25k≤5
30k≤4</t>
  </si>
  <si>
    <t>国产/合资</t>
  </si>
  <si>
    <r>
      <rPr>
        <sz val="11"/>
        <color theme="1"/>
        <rFont val="微软雅黑"/>
        <charset val="134"/>
      </rPr>
      <t xml:space="preserve">36 节及以上时输出功率不降额；34、32 节时输出功率降额至 90%；30 节时输出功率降额至 80%
</t>
    </r>
    <r>
      <rPr>
        <sz val="11"/>
        <color rgb="FFFF0000"/>
        <rFont val="微软雅黑"/>
        <charset val="134"/>
      </rPr>
      <t>25k、30k模块严禁混用</t>
    </r>
  </si>
  <si>
    <r>
      <rPr>
        <sz val="11"/>
        <color theme="1"/>
        <rFont val="微软雅黑"/>
        <charset val="134"/>
      </rPr>
      <t xml:space="preserve">祁连UM-1250TFL-S
</t>
    </r>
    <r>
      <rPr>
        <sz val="11"/>
        <color rgb="FFFF0000"/>
        <rFont val="微软雅黑"/>
        <charset val="134"/>
      </rPr>
      <t>祁连UM-0250TFL-M
祁连UM-0300TFL-M</t>
    </r>
  </si>
  <si>
    <t>祁连UM一体化UPS-125KVA单路输入（MCCB）-含UPS 输入输出-8 路空调-3 路照明-48 路 IT 配电</t>
  </si>
  <si>
    <t>三相电压不平衡度</t>
  </si>
  <si>
    <t>三相电压相位偏差</t>
  </si>
  <si>
    <t>系统效率</t>
  </si>
  <si>
    <t>功率模块效率</t>
  </si>
  <si>
    <t>输出电流不均衡度</t>
  </si>
  <si>
    <t>线电压:285~476</t>
  </si>
  <si>
    <t>0.998/0.995/0.993</t>
  </si>
  <si>
    <t>0.8%/1.6%/2.4%</t>
  </si>
  <si>
    <t>0.22%/0.67%</t>
  </si>
  <si>
    <t>-2.61%/2.39%</t>
  </si>
  <si>
    <t>20/20</t>
  </si>
  <si>
    <t>0.11/0.07</t>
  </si>
  <si>
    <t>96.81%/96.58%/96.39%</t>
  </si>
  <si>
    <t>96.92%/96.63%/96.46%</t>
  </si>
  <si>
    <t>0.8%/2.5%</t>
  </si>
  <si>
    <t>祁连UM满配120kVA机柜，只含手动维修旁路开关</t>
  </si>
  <si>
    <t>0.996/0.995/0.993</t>
  </si>
  <si>
    <t>0.8%/1.9%/2.2%</t>
  </si>
  <si>
    <t>0.31%/0.57%</t>
  </si>
  <si>
    <t>-1.82%/1.41%</t>
  </si>
  <si>
    <t>0.04/0.06</t>
  </si>
  <si>
    <t>97.02%/97.23%/96.94%</t>
  </si>
  <si>
    <t>97.06%/97.26%/97.02%</t>
  </si>
  <si>
    <t>1.1%/1.8%</t>
  </si>
  <si>
    <t>0.997/0.992/0.990</t>
  </si>
  <si>
    <t>1.3%/1.6%/2.9%</t>
  </si>
  <si>
    <t>0.15%/0.59%</t>
  </si>
  <si>
    <t>-1.18%/1.93%</t>
  </si>
  <si>
    <t>0.01/0.04</t>
  </si>
  <si>
    <t>97.11%/97.02%/96.35%</t>
  </si>
  <si>
    <t>97.13%/97.10%/96.45%</t>
  </si>
  <si>
    <t>0.6%/0.8%</t>
  </si>
  <si>
    <t>祁连UM满配180kVA机柜，只含维修旁路开关</t>
  </si>
  <si>
    <t>0.999/0.996/0.992</t>
  </si>
  <si>
    <t>1.5%/2.5%/3.0%</t>
  </si>
  <si>
    <t>0.13%/0.83%</t>
  </si>
  <si>
    <t>-2.16%/2.01%</t>
  </si>
  <si>
    <t>0.07/0.09</t>
  </si>
  <si>
    <t>97.04%/97.26%/96.83%</t>
  </si>
  <si>
    <t>97.10%/97.32%/96.87%</t>
  </si>
  <si>
    <t>0.8%/1.2%</t>
  </si>
  <si>
    <t>祁连UM满配300kVA机柜，只含维修旁路开关</t>
  </si>
  <si>
    <t>0.999/0.998/0.995</t>
  </si>
  <si>
    <t>1.1%/2.0%/2.9%</t>
  </si>
  <si>
    <t>0.26%/0.93%</t>
  </si>
  <si>
    <t>-1.96%/1.91%</t>
  </si>
  <si>
    <t>0.01/0.01</t>
  </si>
  <si>
    <t>97.10%/96.82%/96.58%</t>
  </si>
  <si>
    <t>97.16%/96.85%/96.62%</t>
  </si>
  <si>
    <t>0.4%/1.4%</t>
  </si>
  <si>
    <t>线电压:270~478</t>
  </si>
  <si>
    <t>0.999/0.998/0.998</t>
  </si>
  <si>
    <t>0.7%/1.2%/2.5%</t>
  </si>
  <si>
    <t>0.11%/0.91%</t>
  </si>
  <si>
    <t>-1.12%/1.39%</t>
  </si>
  <si>
    <t>0.06/0.04</t>
  </si>
  <si>
    <t>97.50%/97.38%/97.16%</t>
  </si>
  <si>
    <t>97.63%/97.44%/97.19%</t>
  </si>
  <si>
    <t>0.7%/0.3%</t>
  </si>
  <si>
    <t>使用15kVA功率模块参数</t>
  </si>
  <si>
    <t>使用25/30kVA功率模块参数</t>
  </si>
  <si>
    <t>100%/ 50%</t>
  </si>
  <si>
    <t>泰山UT-0010SPS</t>
  </si>
  <si>
    <t>泰山Power系列1kVA工频塔机，单进单出，PF=0.8，标机内置6节12V7Ah电池</t>
  </si>
  <si>
    <t>4.7%/7.4%</t>
  </si>
  <si>
    <t>1.0%/2.7%</t>
  </si>
  <si>
    <t>可选SNMP/485/干接点</t>
  </si>
  <si>
    <t>泰山UT-0010SPL</t>
  </si>
  <si>
    <t>泰山Power系列1kVA工频塔机，单进单出，PF=0.8，长机6节电池</t>
  </si>
  <si>
    <t>泰山UT-0020SPS</t>
  </si>
  <si>
    <t>泰山Power系列2kVA工频塔机，单进单出，PF=0.8，标机内置6节12V7Ah电池</t>
  </si>
  <si>
    <t>泰山UT-0020SPL</t>
  </si>
  <si>
    <t>泰山Power系列2kVA工频塔机，单进单出，PF=0.8，长机6节电池</t>
  </si>
  <si>
    <t>泰山UT-0030SPS</t>
  </si>
  <si>
    <t>泰山Power系列3kVA工频塔机，单进单出，PF=0.8，标机内置8节12V7Ah电池</t>
  </si>
  <si>
    <t>泰山UT-0030SPL</t>
  </si>
  <si>
    <t>泰山Power系列3kVA工频塔机，单进单出，PF=0.8，长机8节电池</t>
  </si>
  <si>
    <t>泰山UT-0060SPS</t>
  </si>
  <si>
    <t>泰山Power系列6kVA工频塔机，单进单出，PF=0.8，标机内置16节12V7Ah电池</t>
  </si>
  <si>
    <t>泰山UT-0060SPL</t>
  </si>
  <si>
    <t>泰山Power系列6kVA工频塔机，单进单出，PF=0.8，长机16节电池</t>
  </si>
  <si>
    <t>泰山UT-0100SPL</t>
  </si>
  <si>
    <t>泰山Power系列10kVA工频塔机，单进单出，PF=0.8，长机16节电池</t>
  </si>
  <si>
    <t>泰山UT-0150SPL</t>
  </si>
  <si>
    <t>泰山Power系列15kVA工频塔机，单进单出，PF=0.8，长机16节电池</t>
  </si>
  <si>
    <t>泰山UT-0100NPL</t>
  </si>
  <si>
    <t>泰山Power系列10kVA工频塔机，三进单出，PF=0.8，长机16节电池</t>
  </si>
  <si>
    <t>2.9%/5.3%</t>
  </si>
  <si>
    <t>0.9%/2.6%</t>
  </si>
  <si>
    <t>标配232，无485，可选SNMP</t>
  </si>
  <si>
    <t>泰山UT-0150NPL</t>
  </si>
  <si>
    <t>泰山Power系列15kVA工频塔机，三进单出，PF=0.8，长机16节电池</t>
  </si>
  <si>
    <t>泰山UT-0200NPL</t>
  </si>
  <si>
    <t>泰山Power系列20kVA工频塔机，三进单出，PF=0.8，长机16节电池</t>
  </si>
  <si>
    <t>泰山UT-0100NPL-E</t>
  </si>
  <si>
    <t>泰山Power系列10kVA工频塔机，三进单出，PF=0.8，长机32节电池</t>
  </si>
  <si>
    <t>泰山UT-0150NPL-E</t>
  </si>
  <si>
    <t>泰山Power系列15kVA工频塔机，三进单出，PF=0.8，长机32节电池</t>
  </si>
  <si>
    <t>泰山UT-0200NPL-E</t>
  </si>
  <si>
    <t>泰山Power系列20kVA工频塔机，三进单出，PF=0.8，长机32节电池</t>
  </si>
  <si>
    <t>泰山UT-0300NPL-E</t>
  </si>
  <si>
    <t>泰山Power系列30kVA工频塔机，三进单出，PF=0.8，长机32节电池</t>
  </si>
  <si>
    <t>泰山UT-0100TPL-6P</t>
  </si>
  <si>
    <t>泰山Power系列10kVA工频塔机，三进三出，PF=0.8，6脉冲，30-32节电池可选</t>
  </si>
  <si>
    <t>30-32</t>
  </si>
  <si>
    <t>4.8%/6.9%</t>
  </si>
  <si>
    <t>0.7%/2.9%</t>
  </si>
  <si>
    <t>7英寸</t>
  </si>
  <si>
    <t>泰山UT-0200TPL-6P</t>
  </si>
  <si>
    <t>泰山Power系列20kVA工频塔机，三进三出，PF=0.8，6脉冲，30-32节电池可选</t>
  </si>
  <si>
    <t>泰山UT-0300TPL-6P</t>
  </si>
  <si>
    <t>泰山Power系列30kVA工频塔机，三进三出，PF=0.8，6脉冲，30-32节电池可选</t>
  </si>
  <si>
    <t>泰山UT-0400TPL-6P</t>
  </si>
  <si>
    <t>泰山Power系列40kVA工频塔机，三进三出，PF=0.8，6脉冲，30-32节电池可选</t>
  </si>
  <si>
    <t>泰山UT-0600TPL-6P</t>
  </si>
  <si>
    <t>泰山Power系列60kVA工频塔机，三进三出，PF=0.8，6脉冲，30-32节电池可选</t>
  </si>
  <si>
    <t>泰山UT-0800TPL-6P</t>
  </si>
  <si>
    <t>泰山Power系列80kVA工频塔机，三进三出，PF=0.8，6脉冲，30-32节电池可选</t>
  </si>
  <si>
    <t>泰山UT-1000TPL-6P</t>
  </si>
  <si>
    <t>泰山Power系列100kVA工频塔机，三进三出，PF=0.9，6脉冲，30-32节电池可选</t>
  </si>
  <si>
    <t>泰山UT-1200TPL-6P</t>
  </si>
  <si>
    <t>泰山Power系列120kVA工频塔机，三进三出，PF=0.9，6脉冲，30-32节电池可选</t>
  </si>
  <si>
    <t>泰山UT-1600TPL-6P</t>
  </si>
  <si>
    <t>泰山Power系列160kVA工频塔机，三进三出，PF=0.9，6脉冲，30-32节电池可选</t>
  </si>
  <si>
    <t>泰山UT-2000TPL-6P</t>
  </si>
  <si>
    <t>泰山Power系列200kVA工频塔机，三进三出，PF=0.9，6脉冲，30-34节电池可选</t>
  </si>
  <si>
    <t>30-34</t>
  </si>
  <si>
    <t>泰山UT-3000TPL-6P</t>
  </si>
  <si>
    <t>泰山Power系列300kVA工频塔机，三进三出，PF=0.9，6脉冲，30-34节电池可选</t>
  </si>
  <si>
    <t>4.7%/6.9%</t>
  </si>
  <si>
    <t>泰山UT-4000TPL-6P</t>
  </si>
  <si>
    <t>泰山Power系列400kVA工频塔机，三进三出，PF=0.9，6脉冲，30-34节电池可选</t>
  </si>
  <si>
    <t>泰山UT-5000TPL-12P</t>
  </si>
  <si>
    <t>泰山Power系列500kVA工频塔机，三进三出，PF=0.9，12脉冲，40节电池</t>
  </si>
  <si>
    <t>泰山UT-6000TPL-12P</t>
  </si>
  <si>
    <t>泰山Power系列600kVA工频塔机，三进三出，PF=0.9，12脉冲，40节电池</t>
  </si>
  <si>
    <t>输入频率范围
（Hz）</t>
  </si>
  <si>
    <t>单相：175.7~264.3</t>
  </si>
  <si>
    <t>0.995/0.991/0.981</t>
  </si>
  <si>
    <t>4.7%/7.4%/9.6%</t>
  </si>
  <si>
    <t>45~55</t>
  </si>
  <si>
    <t>-3.74%/3.13%</t>
  </si>
  <si>
    <t>92.11%/93.07%/92.79%</t>
  </si>
  <si>
    <t>三相:304~456</t>
  </si>
  <si>
    <t>0.999/0.997/0.992</t>
  </si>
  <si>
    <t>2.9%/5.3%/7.5%</t>
  </si>
  <si>
    <t>-3.74%/3.59%</t>
  </si>
  <si>
    <t>95.11%/94.38%/93.25%</t>
  </si>
  <si>
    <t>三相:285~476</t>
  </si>
  <si>
    <t>0.976/0.959/0.941</t>
  </si>
  <si>
    <t>4.8%/6.9%/9.2%</t>
  </si>
  <si>
    <t>0.24%/0.65%</t>
  </si>
  <si>
    <t>-2.53%/0.93%</t>
  </si>
  <si>
    <t>40/0</t>
  </si>
  <si>
    <t>95.48%/95.06%/94.81%</t>
  </si>
  <si>
    <t>0.972/0.960/0.945</t>
  </si>
  <si>
    <t>4.7%/6.9%/9.3%</t>
  </si>
  <si>
    <t>0.29%/0.86%</t>
  </si>
  <si>
    <t>-2.33%/1.36%</t>
  </si>
  <si>
    <t>95.65%/95.32%/95.05%</t>
  </si>
  <si>
    <t>泰山UT-8000TPL-12P</t>
  </si>
  <si>
    <t>泰山Power系列800kVA工频塔机，三进三出，PF=0.9，12脉冲，40节电池</t>
  </si>
  <si>
    <t>气密性</t>
  </si>
  <si>
    <t>容量(Ah)</t>
  </si>
  <si>
    <t>大电流放电</t>
  </si>
  <si>
    <t>容量保存率</t>
  </si>
  <si>
    <t>密封反应效率</t>
  </si>
  <si>
    <t>防酸雾性能</t>
  </si>
  <si>
    <t>端电压均衡性</t>
  </si>
  <si>
    <t>电池间连接电压降</t>
  </si>
  <si>
    <t>防爆性能</t>
  </si>
  <si>
    <t>封口剂性能</t>
  </si>
  <si>
    <t>内阻偏差</t>
  </si>
  <si>
    <t>热失控敏感性</t>
  </si>
  <si>
    <t>过度放电</t>
  </si>
  <si>
    <t>低温敏感性</t>
  </si>
  <si>
    <t>SP12-250b</t>
  </si>
  <si>
    <t>50kPa</t>
  </si>
  <si>
    <t>合格</t>
  </si>
  <si>
    <t>无逸出</t>
  </si>
  <si>
    <t>符合</t>
  </si>
  <si>
    <t>初次检验</t>
  </si>
  <si>
    <t>GBT12-250</t>
  </si>
  <si>
    <t>267.5/242.7/215.4</t>
  </si>
  <si>
    <t>7mV/10mV/73V</t>
  </si>
  <si>
    <t>3.7mV</t>
  </si>
  <si>
    <t>1.87mΩ</t>
  </si>
  <si>
    <t>10h/3h/1h</t>
  </si>
  <si>
    <t>开路/浮充/放电</t>
  </si>
  <si>
    <t>温度/增长率</t>
  </si>
  <si>
    <t>铅 酸 电 池 配 置 计 算 表</t>
  </si>
  <si>
    <t>开 关 盒 配 置 计 算 表</t>
  </si>
  <si>
    <t>UPS容量VA</t>
  </si>
  <si>
    <t>电池节数</t>
  </si>
  <si>
    <t>单格个数</t>
  </si>
  <si>
    <t>电池逆变效率</t>
  </si>
  <si>
    <t>单格功率</t>
  </si>
  <si>
    <t>电池功率</t>
  </si>
  <si>
    <t>组数</t>
  </si>
  <si>
    <t>电池节数/组</t>
  </si>
  <si>
    <t>终止电压</t>
  </si>
  <si>
    <t>最大电流</t>
  </si>
  <si>
    <t>根据UPS参数修改填入</t>
  </si>
  <si>
    <t>实际值、计算值均可</t>
  </si>
  <si>
    <t>根据UPS具体配置填入</t>
  </si>
  <si>
    <t>根据UPS具体型号修改填入</t>
  </si>
  <si>
    <t>查表后填入进行计算</t>
  </si>
  <si>
    <t>结果越接近1越优，不得超过1</t>
  </si>
  <si>
    <t>*电池恒功率计算公式 W = PL÷(N*6*η)（W/block）</t>
  </si>
  <si>
    <t>*电池总开关容量和电池汇流盒容量不得低于最大放电电流</t>
  </si>
  <si>
    <t>W为所需电池的每单格功率，单位为W/block</t>
  </si>
  <si>
    <t>*最大放电电流计算公式I=PL/(N*1.75*6*η)</t>
  </si>
  <si>
    <t>PL为负载功率(=UPS额定容量*功率因数），Watts</t>
  </si>
  <si>
    <t>PL为负载功率，单位为W</t>
  </si>
  <si>
    <t>6为12V电池内2V单格个数</t>
  </si>
  <si>
    <t>N为单组电池节数</t>
  </si>
  <si>
    <t>10.5为12V电池放电截止电压，即1.75*6</t>
  </si>
  <si>
    <r>
      <rPr>
        <sz val="11"/>
        <color theme="1"/>
        <rFont val="黑体"/>
        <charset val="134"/>
      </rPr>
      <t>η为电池逆变效率，</t>
    </r>
    <r>
      <rPr>
        <sz val="11"/>
        <color rgb="FFFF0000"/>
        <rFont val="黑体"/>
        <charset val="134"/>
      </rPr>
      <t>泰山UT系列取0.94</t>
    </r>
  </si>
  <si>
    <t>η为电池逆变效率，一般高频机取0.95，工频机取0.94</t>
  </si>
  <si>
    <t>一般查表 1.75V截止电压</t>
  </si>
  <si>
    <t>*分组开关盒容量计算</t>
  </si>
  <si>
    <t>*电池配置示例：</t>
  </si>
  <si>
    <t>分组开关电流I分=总电流I/（N-1），N为电池组数，N需要≥2</t>
  </si>
  <si>
    <t>以泰山20k机型为例，计算15分钟电池配置。</t>
  </si>
  <si>
    <t>*电池开关盒电压等级选型：</t>
  </si>
  <si>
    <t>步骤一：计算所需单格功率：W=20000*0.9/（30*6*0.94）≈106.4</t>
  </si>
  <si>
    <t>单组电池不超过20节选择-250VDC</t>
  </si>
  <si>
    <t>步骤二：查艾特电池恒功率放电表，SP12-38在1.75V15min时放电功率为120.2W/Cell</t>
  </si>
  <si>
    <t>单组电池在20-36节选择-500VDC</t>
  </si>
  <si>
    <t>步骤三：用需求功率除以电池功率=106.4/120.2=0.89，取整为1，该数字越接近1越好，但是不可超过1</t>
  </si>
  <si>
    <t>单组电池在38节及以上时选择-750VDC</t>
  </si>
  <si>
    <t>步骤四：采用SP12-38型号电池1组30节可满足需求</t>
  </si>
  <si>
    <t>锂 电 池 配 置 计 算 表</t>
  </si>
  <si>
    <t>功率W</t>
  </si>
  <si>
    <t>时间min</t>
  </si>
  <si>
    <t>额定电压V</t>
  </si>
  <si>
    <t>电池放电效率K1</t>
  </si>
  <si>
    <t>逆变效率K2</t>
  </si>
  <si>
    <t>电池容量C</t>
  </si>
  <si>
    <t>512V100Ah</t>
  </si>
  <si>
    <t>512V200Ah</t>
  </si>
  <si>
    <t>512V70Ah</t>
  </si>
  <si>
    <t>512V140Ah</t>
  </si>
  <si>
    <t>512V210Ah</t>
  </si>
  <si>
    <t>512V280Ah</t>
  </si>
  <si>
    <t>备电时间≥1h</t>
  </si>
  <si>
    <t>备电时间≥30min</t>
  </si>
  <si>
    <t>备电时间≥15min</t>
  </si>
  <si>
    <t>*锂电池配置计算公式C=P*PF*t/（V*K1*K2）/60</t>
  </si>
  <si>
    <t>采用512V70Ah锂电池，单簇最大功率不超过150kW</t>
  </si>
  <si>
    <t>采用512V100Ah锂电池，单簇最大高功率不超过50kW</t>
  </si>
  <si>
    <r>
      <rPr>
        <sz val="11"/>
        <color theme="1"/>
        <rFont val="黑体"/>
        <charset val="134"/>
      </rPr>
      <t>3</t>
    </r>
    <r>
      <rPr>
        <sz val="11"/>
        <color theme="1"/>
        <rFont val="等线"/>
        <charset val="134"/>
        <scheme val="minor"/>
      </rPr>
      <t>0分钟及以内选用4C锂电系统，30分钟以上选用1C锂电系统</t>
    </r>
  </si>
  <si>
    <t>不支持</t>
    <phoneticPr fontId="16" type="noConversion"/>
  </si>
  <si>
    <t>280.7/255.2/204.6</t>
    <phoneticPr fontId="16" type="noConversion"/>
  </si>
  <si>
    <t>气体析出</t>
    <phoneticPr fontId="16" type="noConversion"/>
  </si>
  <si>
    <t>0.03/0.25</t>
    <phoneticPr fontId="16" type="noConversion"/>
  </si>
  <si>
    <t>浮充/均充</t>
    <phoneticPr fontId="16" type="noConversion"/>
  </si>
  <si>
    <t>安全阀</t>
    <phoneticPr fontId="16" type="noConversion"/>
  </si>
  <si>
    <t>开阀/闭阀</t>
    <phoneticPr fontId="16" type="noConversion"/>
  </si>
  <si>
    <t>18/14</t>
    <phoneticPr fontId="16" type="noConversion"/>
  </si>
  <si>
    <t>充电效率</t>
    <phoneticPr fontId="16" type="noConversion"/>
  </si>
  <si>
    <t>再充电性能</t>
    <phoneticPr fontId="16" type="noConversion"/>
  </si>
  <si>
    <t>13mV/19mV/112V</t>
    <phoneticPr fontId="16" type="noConversion"/>
  </si>
  <si>
    <t>容量一致性</t>
    <phoneticPr fontId="16" type="noConversion"/>
  </si>
  <si>
    <t>4.0mV</t>
    <phoneticPr fontId="16" type="noConversion"/>
  </si>
  <si>
    <t>25.8/11.7%</t>
    <phoneticPr fontId="16" type="noConversion"/>
  </si>
  <si>
    <t>2.35mΩ</t>
    <phoneticPr fontId="16" type="noConversion"/>
  </si>
  <si>
    <t>/</t>
    <phoneticPr fontId="16" type="noConversion"/>
  </si>
  <si>
    <t>21/15</t>
    <phoneticPr fontId="16" type="noConversion"/>
  </si>
  <si>
    <t>25.9/27.0%</t>
    <phoneticPr fontId="16" type="noConversion"/>
  </si>
  <si>
    <t>0.8(报告0.9)</t>
  </si>
  <si>
    <t>0.8(报告0.9)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</si>
</sst>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%"/>
    <numFmt numFmtId="178" formatCode="0.0_ "/>
    <numFmt numFmtId="179" formatCode="0.0_);[Red]\(0.0\)"/>
    <numFmt numFmtId="180" formatCode="0_);[Red]\(0\)"/>
  </numFmts>
  <fonts count="22" x14ac:knownFonts="1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4"/>
      <color theme="1"/>
      <name val="黑体"/>
      <charset val="134"/>
    </font>
    <font>
      <sz val="9"/>
      <color rgb="FFFF0000"/>
      <name val="黑体"/>
      <charset val="134"/>
    </font>
    <font>
      <sz val="9"/>
      <color theme="1"/>
      <name val="黑体"/>
      <charset val="134"/>
    </font>
    <font>
      <sz val="11"/>
      <color rgb="FFFF0000"/>
      <name val="黑体"/>
      <charset val="134"/>
    </font>
    <font>
      <sz val="11"/>
      <color theme="1"/>
      <name val="黑体"/>
      <charset val="134"/>
    </font>
    <font>
      <sz val="12"/>
      <color theme="1"/>
      <name val="黑体"/>
      <charset val="134"/>
    </font>
    <font>
      <sz val="9"/>
      <color rgb="FFFF0000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等线"/>
      <charset val="134"/>
      <scheme val="minor"/>
    </font>
    <font>
      <sz val="12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sz val="1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5" fillId="0" borderId="0">
      <alignment vertical="center"/>
    </xf>
  </cellStyleXfs>
  <cellXfs count="120">
    <xf numFmtId="0" fontId="0" fillId="0" borderId="0" xfId="0"/>
    <xf numFmtId="0" fontId="15" fillId="0" borderId="0" xfId="1">
      <alignment vertical="center"/>
    </xf>
    <xf numFmtId="0" fontId="2" fillId="2" borderId="2" xfId="1" applyFont="1" applyFill="1" applyBorder="1" applyAlignment="1">
      <alignment horizontal="center" vertical="center"/>
    </xf>
    <xf numFmtId="0" fontId="15" fillId="0" borderId="2" xfId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5" fillId="0" borderId="2" xfId="1" applyBorder="1">
      <alignment vertical="center"/>
    </xf>
    <xf numFmtId="0" fontId="6" fillId="0" borderId="0" xfId="1" applyFont="1">
      <alignment vertical="center"/>
    </xf>
    <xf numFmtId="0" fontId="7" fillId="2" borderId="2" xfId="1" applyFont="1" applyFill="1" applyBorder="1" applyAlignment="1">
      <alignment horizontal="center" vertical="center"/>
    </xf>
    <xf numFmtId="176" fontId="15" fillId="3" borderId="2" xfId="1" applyNumberFormat="1" applyFill="1" applyBorder="1" applyAlignment="1">
      <alignment horizontal="center" vertical="center"/>
    </xf>
    <xf numFmtId="176" fontId="15" fillId="0" borderId="2" xfId="1" applyNumberFormat="1" applyBorder="1" applyAlignment="1">
      <alignment horizontal="center" vertical="center"/>
    </xf>
    <xf numFmtId="0" fontId="8" fillId="0" borderId="0" xfId="1" applyFont="1">
      <alignment vertical="center"/>
    </xf>
    <xf numFmtId="0" fontId="0" fillId="0" borderId="0" xfId="0" applyAlignment="1">
      <alignment wrapText="1"/>
    </xf>
    <xf numFmtId="0" fontId="0" fillId="4" borderId="0" xfId="0" applyFill="1"/>
    <xf numFmtId="0" fontId="0" fillId="0" borderId="0" xfId="0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0" fontId="10" fillId="3" borderId="2" xfId="0" applyNumberFormat="1" applyFont="1" applyFill="1" applyBorder="1" applyAlignment="1">
      <alignment horizontal="center" vertical="center" wrapText="1"/>
    </xf>
    <xf numFmtId="177" fontId="10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76" fontId="10" fillId="3" borderId="2" xfId="0" applyNumberFormat="1" applyFont="1" applyFill="1" applyBorder="1" applyAlignment="1">
      <alignment horizontal="center" vertical="center"/>
    </xf>
    <xf numFmtId="177" fontId="10" fillId="3" borderId="2" xfId="0" applyNumberFormat="1" applyFont="1" applyFill="1" applyBorder="1" applyAlignment="1">
      <alignment horizontal="center" vertical="center" wrapText="1"/>
    </xf>
    <xf numFmtId="49" fontId="10" fillId="3" borderId="2" xfId="0" applyNumberFormat="1" applyFont="1" applyFill="1" applyBorder="1" applyAlignment="1">
      <alignment horizontal="center" vertical="center"/>
    </xf>
    <xf numFmtId="10" fontId="10" fillId="3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0" fontId="10" fillId="0" borderId="2" xfId="0" applyNumberFormat="1" applyFont="1" applyBorder="1" applyAlignment="1">
      <alignment horizontal="center" vertical="center" wrapText="1"/>
    </xf>
    <xf numFmtId="177" fontId="10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10" fontId="10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vertical="center" wrapText="1"/>
    </xf>
    <xf numFmtId="178" fontId="10" fillId="3" borderId="2" xfId="0" applyNumberFormat="1" applyFont="1" applyFill="1" applyBorder="1" applyAlignment="1">
      <alignment horizontal="center" vertical="center"/>
    </xf>
    <xf numFmtId="179" fontId="10" fillId="3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178" fontId="10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79" fontId="1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180" fontId="0" fillId="0" borderId="0" xfId="0" applyNumberFormat="1" applyAlignment="1">
      <alignment wrapText="1"/>
    </xf>
    <xf numFmtId="10" fontId="0" fillId="0" borderId="0" xfId="0" applyNumberFormat="1" applyAlignment="1">
      <alignment horizontal="center" wrapText="1"/>
    </xf>
    <xf numFmtId="180" fontId="9" fillId="2" borderId="2" xfId="0" applyNumberFormat="1" applyFont="1" applyFill="1" applyBorder="1" applyAlignment="1">
      <alignment horizontal="center" vertical="center" wrapText="1"/>
    </xf>
    <xf numFmtId="10" fontId="9" fillId="2" borderId="2" xfId="0" applyNumberFormat="1" applyFont="1" applyFill="1" applyBorder="1" applyAlignment="1">
      <alignment horizontal="center" vertical="center" wrapText="1"/>
    </xf>
    <xf numFmtId="180" fontId="10" fillId="3" borderId="2" xfId="0" applyNumberFormat="1" applyFont="1" applyFill="1" applyBorder="1" applyAlignment="1">
      <alignment horizontal="center" vertical="center"/>
    </xf>
    <xf numFmtId="179" fontId="10" fillId="3" borderId="2" xfId="0" applyNumberFormat="1" applyFont="1" applyFill="1" applyBorder="1" applyAlignment="1">
      <alignment horizontal="center" vertical="center" wrapText="1"/>
    </xf>
    <xf numFmtId="180" fontId="10" fillId="0" borderId="2" xfId="0" applyNumberFormat="1" applyFont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177" fontId="14" fillId="4" borderId="0" xfId="0" applyNumberFormat="1" applyFont="1" applyFill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10" fillId="0" borderId="11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 wrapText="1"/>
    </xf>
    <xf numFmtId="0" fontId="11" fillId="3" borderId="2" xfId="0" applyFont="1" applyFill="1" applyBorder="1" applyAlignment="1">
      <alignment horizontal="left" wrapText="1"/>
    </xf>
    <xf numFmtId="0" fontId="10" fillId="0" borderId="2" xfId="0" applyFont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177" fontId="14" fillId="4" borderId="3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3" borderId="13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49" fontId="10" fillId="4" borderId="2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76" fontId="18" fillId="3" borderId="2" xfId="0" applyNumberFormat="1" applyFont="1" applyFill="1" applyBorder="1" applyAlignment="1">
      <alignment horizontal="center" vertical="center"/>
    </xf>
    <xf numFmtId="177" fontId="18" fillId="3" borderId="2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77" fontId="11" fillId="4" borderId="2" xfId="0" applyNumberFormat="1" applyFont="1" applyFill="1" applyBorder="1" applyAlignment="1">
      <alignment horizontal="center" vertical="center" wrapText="1"/>
    </xf>
    <xf numFmtId="10" fontId="18" fillId="4" borderId="2" xfId="0" applyNumberFormat="1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/>
    </xf>
    <xf numFmtId="177" fontId="10" fillId="4" borderId="2" xfId="0" applyNumberFormat="1" applyFont="1" applyFill="1" applyBorder="1" applyAlignment="1">
      <alignment horizontal="center" vertical="center"/>
    </xf>
    <xf numFmtId="176" fontId="10" fillId="4" borderId="2" xfId="0" applyNumberFormat="1" applyFont="1" applyFill="1" applyBorder="1" applyAlignment="1">
      <alignment horizontal="center" vertical="center"/>
    </xf>
    <xf numFmtId="177" fontId="10" fillId="4" borderId="2" xfId="0" applyNumberFormat="1" applyFont="1" applyFill="1" applyBorder="1" applyAlignment="1">
      <alignment horizontal="center" vertical="center" wrapText="1"/>
    </xf>
    <xf numFmtId="49" fontId="18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5" fillId="0" borderId="1" xfId="1" applyBorder="1" applyAlignment="1">
      <alignment horizontal="center" vertical="center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zoomScale="80" zoomScaleNormal="80" workbookViewId="0">
      <selection activeCell="C28" sqref="C28"/>
    </sheetView>
  </sheetViews>
  <sheetFormatPr defaultColWidth="9" defaultRowHeight="14" x14ac:dyDescent="0.3"/>
  <cols>
    <col min="1" max="1" width="5.5" customWidth="1"/>
    <col min="2" max="2" width="20.5" customWidth="1"/>
    <col min="3" max="3" width="42.58203125" customWidth="1"/>
    <col min="4" max="5" width="10.5" customWidth="1"/>
    <col min="6" max="8" width="8.5" customWidth="1"/>
    <col min="9" max="10" width="10" customWidth="1"/>
    <col min="11" max="11" width="10.5" customWidth="1"/>
    <col min="12" max="12" width="6.08203125" customWidth="1"/>
    <col min="13" max="13" width="10.5" customWidth="1"/>
    <col min="14" max="14" width="12.08203125" customWidth="1"/>
    <col min="15" max="15" width="13.25" customWidth="1"/>
    <col min="16" max="16" width="44.33203125" customWidth="1"/>
    <col min="17" max="17" width="8" customWidth="1"/>
    <col min="18" max="18" width="16.83203125" customWidth="1"/>
    <col min="19" max="19" width="30.5" customWidth="1"/>
    <col min="20" max="20" width="6.33203125" customWidth="1"/>
    <col min="21" max="21" width="4.58203125" customWidth="1"/>
    <col min="22" max="22" width="16.08203125" customWidth="1"/>
  </cols>
  <sheetData>
    <row r="1" spans="1:22" ht="16.5" x14ac:dyDescent="0.3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76" t="s">
        <v>15</v>
      </c>
      <c r="Q1" s="76" t="s">
        <v>16</v>
      </c>
      <c r="R1" s="76" t="s">
        <v>17</v>
      </c>
      <c r="S1" s="76" t="s">
        <v>18</v>
      </c>
      <c r="T1" s="15" t="s">
        <v>19</v>
      </c>
      <c r="U1" s="15" t="s">
        <v>20</v>
      </c>
      <c r="V1" s="15" t="s">
        <v>21</v>
      </c>
    </row>
    <row r="2" spans="1:22" ht="16.5" x14ac:dyDescent="0.3">
      <c r="A2" s="20">
        <v>1</v>
      </c>
      <c r="B2" s="20" t="s">
        <v>22</v>
      </c>
      <c r="C2" s="65" t="s">
        <v>23</v>
      </c>
      <c r="D2" s="20">
        <v>1</v>
      </c>
      <c r="E2" s="20" t="s">
        <v>24</v>
      </c>
      <c r="F2" s="20" t="s">
        <v>24</v>
      </c>
      <c r="G2" s="20" t="s">
        <v>24</v>
      </c>
      <c r="H2" s="20" t="s">
        <v>24</v>
      </c>
      <c r="I2" s="20" t="s">
        <v>25</v>
      </c>
      <c r="J2" s="20" t="s">
        <v>24</v>
      </c>
      <c r="K2" s="20" t="s">
        <v>26</v>
      </c>
      <c r="L2" s="20" t="s">
        <v>27</v>
      </c>
      <c r="M2" s="24">
        <v>0.96960000000000002</v>
      </c>
      <c r="N2" s="19" t="s">
        <v>28</v>
      </c>
      <c r="O2" s="19" t="s">
        <v>29</v>
      </c>
      <c r="P2" s="22" t="s">
        <v>30</v>
      </c>
      <c r="Q2" s="22" t="s">
        <v>31</v>
      </c>
      <c r="R2" s="20" t="s">
        <v>32</v>
      </c>
      <c r="S2" s="16" t="s">
        <v>33</v>
      </c>
      <c r="T2" s="61" t="s">
        <v>34</v>
      </c>
      <c r="U2" s="61"/>
      <c r="V2" s="61" t="s">
        <v>34</v>
      </c>
    </row>
    <row r="3" spans="1:22" ht="16.5" x14ac:dyDescent="0.3">
      <c r="A3" s="32">
        <v>2</v>
      </c>
      <c r="B3" s="32" t="s">
        <v>35</v>
      </c>
      <c r="C3" s="66" t="s">
        <v>36</v>
      </c>
      <c r="D3" s="32">
        <v>1</v>
      </c>
      <c r="E3" s="32" t="s">
        <v>24</v>
      </c>
      <c r="F3" s="32" t="s">
        <v>24</v>
      </c>
      <c r="G3" s="32" t="s">
        <v>24</v>
      </c>
      <c r="H3" s="32" t="s">
        <v>24</v>
      </c>
      <c r="I3" s="32">
        <v>3</v>
      </c>
      <c r="J3" s="32" t="s">
        <v>24</v>
      </c>
      <c r="K3" s="32" t="s">
        <v>26</v>
      </c>
      <c r="L3" s="32" t="s">
        <v>27</v>
      </c>
      <c r="M3" s="33">
        <v>0.96960000000000002</v>
      </c>
      <c r="N3" s="28" t="s">
        <v>28</v>
      </c>
      <c r="O3" s="28" t="s">
        <v>29</v>
      </c>
      <c r="P3" s="31" t="s">
        <v>30</v>
      </c>
      <c r="Q3" s="31" t="s">
        <v>31</v>
      </c>
      <c r="R3" s="32" t="s">
        <v>32</v>
      </c>
      <c r="S3" s="25" t="s">
        <v>33</v>
      </c>
      <c r="T3" s="62" t="s">
        <v>34</v>
      </c>
      <c r="U3" s="62"/>
      <c r="V3" s="62" t="s">
        <v>34</v>
      </c>
    </row>
    <row r="4" spans="1:22" ht="16.5" x14ac:dyDescent="0.3">
      <c r="A4" s="20">
        <v>3</v>
      </c>
      <c r="B4" s="20" t="s">
        <v>37</v>
      </c>
      <c r="C4" s="65" t="s">
        <v>38</v>
      </c>
      <c r="D4" s="20">
        <v>1</v>
      </c>
      <c r="E4" s="20" t="s">
        <v>24</v>
      </c>
      <c r="F4" s="20" t="s">
        <v>24</v>
      </c>
      <c r="G4" s="20" t="s">
        <v>24</v>
      </c>
      <c r="H4" s="20" t="s">
        <v>24</v>
      </c>
      <c r="I4" s="20" t="s">
        <v>39</v>
      </c>
      <c r="J4" s="20" t="s">
        <v>24</v>
      </c>
      <c r="K4" s="20" t="s">
        <v>26</v>
      </c>
      <c r="L4" s="20" t="s">
        <v>27</v>
      </c>
      <c r="M4" s="24">
        <v>0.96960000000000002</v>
      </c>
      <c r="N4" s="19" t="s">
        <v>28</v>
      </c>
      <c r="O4" s="19" t="s">
        <v>29</v>
      </c>
      <c r="P4" s="22" t="s">
        <v>30</v>
      </c>
      <c r="Q4" s="22" t="s">
        <v>31</v>
      </c>
      <c r="R4" s="20" t="s">
        <v>32</v>
      </c>
      <c r="S4" s="16" t="s">
        <v>33</v>
      </c>
      <c r="T4" s="61" t="s">
        <v>34</v>
      </c>
      <c r="U4" s="61"/>
      <c r="V4" s="61" t="s">
        <v>34</v>
      </c>
    </row>
    <row r="5" spans="1:22" ht="16.5" x14ac:dyDescent="0.3">
      <c r="A5" s="32">
        <v>4</v>
      </c>
      <c r="B5" s="32" t="s">
        <v>40</v>
      </c>
      <c r="C5" s="66" t="s">
        <v>41</v>
      </c>
      <c r="D5" s="32">
        <v>1</v>
      </c>
      <c r="E5" s="32" t="s">
        <v>24</v>
      </c>
      <c r="F5" s="32" t="s">
        <v>24</v>
      </c>
      <c r="G5" s="32" t="s">
        <v>24</v>
      </c>
      <c r="H5" s="32" t="s">
        <v>24</v>
      </c>
      <c r="I5" s="32">
        <v>6</v>
      </c>
      <c r="J5" s="32" t="s">
        <v>24</v>
      </c>
      <c r="K5" s="32" t="s">
        <v>26</v>
      </c>
      <c r="L5" s="32" t="s">
        <v>27</v>
      </c>
      <c r="M5" s="33">
        <v>0.96960000000000002</v>
      </c>
      <c r="N5" s="28" t="s">
        <v>28</v>
      </c>
      <c r="O5" s="28" t="s">
        <v>29</v>
      </c>
      <c r="P5" s="31" t="s">
        <v>30</v>
      </c>
      <c r="Q5" s="31" t="s">
        <v>31</v>
      </c>
      <c r="R5" s="32" t="s">
        <v>32</v>
      </c>
      <c r="S5" s="25" t="s">
        <v>33</v>
      </c>
      <c r="T5" s="62" t="s">
        <v>34</v>
      </c>
      <c r="U5" s="62"/>
      <c r="V5" s="62" t="s">
        <v>34</v>
      </c>
    </row>
    <row r="6" spans="1:22" ht="16.5" x14ac:dyDescent="0.3">
      <c r="A6" s="20">
        <v>5</v>
      </c>
      <c r="B6" s="20" t="s">
        <v>42</v>
      </c>
      <c r="C6" s="65" t="s">
        <v>43</v>
      </c>
      <c r="D6" s="20">
        <v>1</v>
      </c>
      <c r="E6" s="20" t="s">
        <v>24</v>
      </c>
      <c r="F6" s="20" t="s">
        <v>24</v>
      </c>
      <c r="G6" s="20" t="s">
        <v>24</v>
      </c>
      <c r="H6" s="20" t="s">
        <v>24</v>
      </c>
      <c r="I6" s="20" t="s">
        <v>44</v>
      </c>
      <c r="J6" s="20" t="s">
        <v>24</v>
      </c>
      <c r="K6" s="20" t="s">
        <v>26</v>
      </c>
      <c r="L6" s="20" t="s">
        <v>27</v>
      </c>
      <c r="M6" s="24">
        <v>0.96960000000000002</v>
      </c>
      <c r="N6" s="19" t="s">
        <v>28</v>
      </c>
      <c r="O6" s="19" t="s">
        <v>29</v>
      </c>
      <c r="P6" s="22" t="s">
        <v>30</v>
      </c>
      <c r="Q6" s="22" t="s">
        <v>31</v>
      </c>
      <c r="R6" s="20" t="s">
        <v>32</v>
      </c>
      <c r="S6" s="16" t="s">
        <v>33</v>
      </c>
      <c r="T6" s="61" t="s">
        <v>34</v>
      </c>
      <c r="U6" s="61"/>
      <c r="V6" s="61" t="s">
        <v>34</v>
      </c>
    </row>
    <row r="7" spans="1:22" ht="16.5" x14ac:dyDescent="0.3">
      <c r="A7" s="32">
        <v>6</v>
      </c>
      <c r="B7" s="32" t="s">
        <v>45</v>
      </c>
      <c r="C7" s="66" t="s">
        <v>46</v>
      </c>
      <c r="D7" s="32">
        <v>1</v>
      </c>
      <c r="E7" s="32" t="s">
        <v>24</v>
      </c>
      <c r="F7" s="32" t="s">
        <v>24</v>
      </c>
      <c r="G7" s="32" t="s">
        <v>24</v>
      </c>
      <c r="H7" s="32" t="s">
        <v>24</v>
      </c>
      <c r="I7" s="32">
        <v>8</v>
      </c>
      <c r="J7" s="32" t="s">
        <v>24</v>
      </c>
      <c r="K7" s="32" t="s">
        <v>26</v>
      </c>
      <c r="L7" s="32" t="s">
        <v>27</v>
      </c>
      <c r="M7" s="33">
        <v>0.96960000000000002</v>
      </c>
      <c r="N7" s="28" t="s">
        <v>28</v>
      </c>
      <c r="O7" s="28" t="s">
        <v>29</v>
      </c>
      <c r="P7" s="31" t="s">
        <v>30</v>
      </c>
      <c r="Q7" s="31" t="s">
        <v>31</v>
      </c>
      <c r="R7" s="32" t="s">
        <v>32</v>
      </c>
      <c r="S7" s="25" t="s">
        <v>33</v>
      </c>
      <c r="T7" s="62" t="s">
        <v>34</v>
      </c>
      <c r="U7" s="62"/>
      <c r="V7" s="62" t="s">
        <v>34</v>
      </c>
    </row>
    <row r="8" spans="1:22" ht="16.5" x14ac:dyDescent="0.3">
      <c r="A8" s="20">
        <v>7</v>
      </c>
      <c r="B8" s="20" t="s">
        <v>47</v>
      </c>
      <c r="C8" s="65" t="s">
        <v>48</v>
      </c>
      <c r="D8" s="20">
        <v>1</v>
      </c>
      <c r="E8" s="20" t="s">
        <v>24</v>
      </c>
      <c r="F8" s="20" t="s">
        <v>24</v>
      </c>
      <c r="G8" s="20" t="s">
        <v>24</v>
      </c>
      <c r="H8" s="20" t="s">
        <v>24</v>
      </c>
      <c r="I8" s="20" t="s">
        <v>49</v>
      </c>
      <c r="J8" s="20" t="s">
        <v>24</v>
      </c>
      <c r="K8" s="20" t="s">
        <v>26</v>
      </c>
      <c r="L8" s="20" t="s">
        <v>27</v>
      </c>
      <c r="M8" s="24">
        <v>0.96960000000000002</v>
      </c>
      <c r="N8" s="19" t="s">
        <v>28</v>
      </c>
      <c r="O8" s="19" t="s">
        <v>29</v>
      </c>
      <c r="P8" s="22" t="s">
        <v>30</v>
      </c>
      <c r="Q8" s="22" t="s">
        <v>31</v>
      </c>
      <c r="R8" s="20" t="s">
        <v>32</v>
      </c>
      <c r="S8" s="16" t="s">
        <v>33</v>
      </c>
      <c r="T8" s="61" t="s">
        <v>34</v>
      </c>
      <c r="U8" s="61"/>
      <c r="V8" s="61" t="s">
        <v>34</v>
      </c>
    </row>
    <row r="9" spans="1:22" ht="16.5" x14ac:dyDescent="0.3">
      <c r="A9" s="32">
        <v>8</v>
      </c>
      <c r="B9" s="32" t="s">
        <v>50</v>
      </c>
      <c r="C9" s="66" t="s">
        <v>51</v>
      </c>
      <c r="D9" s="32">
        <v>1</v>
      </c>
      <c r="E9" s="32" t="s">
        <v>24</v>
      </c>
      <c r="F9" s="32" t="s">
        <v>24</v>
      </c>
      <c r="G9" s="32" t="s">
        <v>24</v>
      </c>
      <c r="H9" s="32" t="s">
        <v>24</v>
      </c>
      <c r="I9" s="32" t="s">
        <v>49</v>
      </c>
      <c r="J9" s="32" t="s">
        <v>24</v>
      </c>
      <c r="K9" s="32" t="s">
        <v>26</v>
      </c>
      <c r="L9" s="32" t="s">
        <v>27</v>
      </c>
      <c r="M9" s="33">
        <v>0.96960000000000002</v>
      </c>
      <c r="N9" s="28" t="s">
        <v>28</v>
      </c>
      <c r="O9" s="28" t="s">
        <v>29</v>
      </c>
      <c r="P9" s="31" t="s">
        <v>30</v>
      </c>
      <c r="Q9" s="31" t="s">
        <v>31</v>
      </c>
      <c r="R9" s="32" t="s">
        <v>32</v>
      </c>
      <c r="S9" s="25" t="s">
        <v>33</v>
      </c>
      <c r="T9" s="62" t="s">
        <v>34</v>
      </c>
      <c r="U9" s="62"/>
      <c r="V9" s="62" t="s">
        <v>34</v>
      </c>
    </row>
    <row r="10" spans="1:22" ht="16.5" x14ac:dyDescent="0.3">
      <c r="A10" s="20">
        <v>9</v>
      </c>
      <c r="B10" s="20" t="s">
        <v>52</v>
      </c>
      <c r="C10" s="65" t="s">
        <v>53</v>
      </c>
      <c r="D10" s="20">
        <v>1</v>
      </c>
      <c r="E10" s="20" t="s">
        <v>24</v>
      </c>
      <c r="F10" s="20" t="s">
        <v>24</v>
      </c>
      <c r="G10" s="20" t="s">
        <v>24</v>
      </c>
      <c r="H10" s="20" t="s">
        <v>24</v>
      </c>
      <c r="I10" s="20" t="s">
        <v>49</v>
      </c>
      <c r="J10" s="20" t="s">
        <v>24</v>
      </c>
      <c r="K10" s="20" t="s">
        <v>26</v>
      </c>
      <c r="L10" s="20" t="s">
        <v>27</v>
      </c>
      <c r="M10" s="24">
        <v>0.97130000000000005</v>
      </c>
      <c r="N10" s="19" t="s">
        <v>54</v>
      </c>
      <c r="O10" s="19" t="s">
        <v>55</v>
      </c>
      <c r="P10" s="22" t="s">
        <v>30</v>
      </c>
      <c r="Q10" s="22" t="s">
        <v>31</v>
      </c>
      <c r="R10" s="20" t="s">
        <v>32</v>
      </c>
      <c r="S10" s="103" t="s">
        <v>56</v>
      </c>
      <c r="T10" s="61" t="s">
        <v>34</v>
      </c>
      <c r="U10" s="61"/>
      <c r="V10" s="61" t="s">
        <v>34</v>
      </c>
    </row>
    <row r="11" spans="1:22" ht="16.5" x14ac:dyDescent="0.3">
      <c r="A11" s="32">
        <v>10</v>
      </c>
      <c r="B11" s="32" t="s">
        <v>57</v>
      </c>
      <c r="C11" s="66" t="s">
        <v>58</v>
      </c>
      <c r="D11" s="32">
        <v>1</v>
      </c>
      <c r="E11" s="32" t="s">
        <v>24</v>
      </c>
      <c r="F11" s="32" t="s">
        <v>24</v>
      </c>
      <c r="G11" s="32" t="s">
        <v>24</v>
      </c>
      <c r="H11" s="32" t="s">
        <v>24</v>
      </c>
      <c r="I11" s="32" t="s">
        <v>49</v>
      </c>
      <c r="J11" s="32" t="s">
        <v>24</v>
      </c>
      <c r="K11" s="32" t="s">
        <v>26</v>
      </c>
      <c r="L11" s="32" t="s">
        <v>27</v>
      </c>
      <c r="M11" s="33">
        <v>0.97130000000000005</v>
      </c>
      <c r="N11" s="28" t="s">
        <v>54</v>
      </c>
      <c r="O11" s="28" t="s">
        <v>55</v>
      </c>
      <c r="P11" s="31" t="s">
        <v>30</v>
      </c>
      <c r="Q11" s="31" t="s">
        <v>31</v>
      </c>
      <c r="R11" s="32" t="s">
        <v>32</v>
      </c>
      <c r="S11" s="104"/>
      <c r="T11" s="62" t="s">
        <v>34</v>
      </c>
      <c r="U11" s="62"/>
      <c r="V11" s="62" t="s">
        <v>34</v>
      </c>
    </row>
    <row r="12" spans="1:22" ht="16.5" x14ac:dyDescent="0.3">
      <c r="A12" s="20">
        <v>11</v>
      </c>
      <c r="B12" s="20" t="s">
        <v>59</v>
      </c>
      <c r="C12" s="65" t="s">
        <v>60</v>
      </c>
      <c r="D12" s="20">
        <v>1</v>
      </c>
      <c r="E12" s="20" t="s">
        <v>24</v>
      </c>
      <c r="F12" s="20" t="s">
        <v>24</v>
      </c>
      <c r="G12" s="20" t="s">
        <v>24</v>
      </c>
      <c r="H12" s="20" t="s">
        <v>24</v>
      </c>
      <c r="I12" s="20" t="s">
        <v>49</v>
      </c>
      <c r="J12" s="20" t="s">
        <v>24</v>
      </c>
      <c r="K12" s="20" t="s">
        <v>26</v>
      </c>
      <c r="L12" s="20" t="s">
        <v>27</v>
      </c>
      <c r="M12" s="24">
        <v>0.97130000000000005</v>
      </c>
      <c r="N12" s="19" t="s">
        <v>54</v>
      </c>
      <c r="O12" s="19" t="s">
        <v>55</v>
      </c>
      <c r="P12" s="22" t="s">
        <v>30</v>
      </c>
      <c r="Q12" s="22" t="s">
        <v>31</v>
      </c>
      <c r="R12" s="20" t="s">
        <v>32</v>
      </c>
      <c r="S12" s="105"/>
      <c r="T12" s="61" t="s">
        <v>34</v>
      </c>
      <c r="U12" s="61"/>
      <c r="V12" s="61" t="s">
        <v>34</v>
      </c>
    </row>
    <row r="13" spans="1:22" ht="16.5" x14ac:dyDescent="0.3">
      <c r="A13" s="32">
        <v>12</v>
      </c>
      <c r="B13" s="32" t="s">
        <v>61</v>
      </c>
      <c r="C13" s="66" t="s">
        <v>62</v>
      </c>
      <c r="D13" s="32" t="s">
        <v>63</v>
      </c>
      <c r="E13" s="32">
        <v>4</v>
      </c>
      <c r="F13" s="32" t="s">
        <v>64</v>
      </c>
      <c r="G13" s="32" t="s">
        <v>65</v>
      </c>
      <c r="H13" s="32" t="s">
        <v>24</v>
      </c>
      <c r="I13" s="32" t="s">
        <v>66</v>
      </c>
      <c r="J13" s="32" t="s">
        <v>67</v>
      </c>
      <c r="K13" s="32" t="s">
        <v>26</v>
      </c>
      <c r="L13" s="32" t="s">
        <v>68</v>
      </c>
      <c r="M13" s="33">
        <v>0.97130000000000005</v>
      </c>
      <c r="N13" s="28" t="s">
        <v>54</v>
      </c>
      <c r="O13" s="28" t="s">
        <v>55</v>
      </c>
      <c r="P13" s="31" t="s">
        <v>69</v>
      </c>
      <c r="Q13" s="31" t="s">
        <v>70</v>
      </c>
      <c r="R13" s="32" t="s">
        <v>71</v>
      </c>
      <c r="S13" s="103" t="s">
        <v>72</v>
      </c>
      <c r="T13" s="62" t="s">
        <v>34</v>
      </c>
      <c r="U13" s="62"/>
      <c r="V13" s="62" t="s">
        <v>34</v>
      </c>
    </row>
    <row r="14" spans="1:22" ht="16.5" x14ac:dyDescent="0.3">
      <c r="A14" s="20">
        <v>13</v>
      </c>
      <c r="B14" s="20" t="s">
        <v>73</v>
      </c>
      <c r="C14" s="65" t="s">
        <v>74</v>
      </c>
      <c r="D14" s="20" t="s">
        <v>63</v>
      </c>
      <c r="E14" s="20">
        <v>4</v>
      </c>
      <c r="F14" s="20" t="s">
        <v>64</v>
      </c>
      <c r="G14" s="20" t="s">
        <v>65</v>
      </c>
      <c r="H14" s="20" t="s">
        <v>24</v>
      </c>
      <c r="I14" s="20" t="s">
        <v>66</v>
      </c>
      <c r="J14" s="20" t="s">
        <v>67</v>
      </c>
      <c r="K14" s="20" t="s">
        <v>26</v>
      </c>
      <c r="L14" s="20" t="s">
        <v>68</v>
      </c>
      <c r="M14" s="24">
        <v>0.97130000000000005</v>
      </c>
      <c r="N14" s="19" t="s">
        <v>54</v>
      </c>
      <c r="O14" s="19" t="s">
        <v>55</v>
      </c>
      <c r="P14" s="22" t="s">
        <v>69</v>
      </c>
      <c r="Q14" s="22" t="s">
        <v>70</v>
      </c>
      <c r="R14" s="20" t="s">
        <v>71</v>
      </c>
      <c r="S14" s="104"/>
      <c r="T14" s="61" t="s">
        <v>34</v>
      </c>
      <c r="U14" s="61"/>
      <c r="V14" s="61" t="s">
        <v>34</v>
      </c>
    </row>
    <row r="15" spans="1:22" ht="16.5" x14ac:dyDescent="0.3">
      <c r="A15" s="32">
        <v>14</v>
      </c>
      <c r="B15" s="32" t="s">
        <v>75</v>
      </c>
      <c r="C15" s="66" t="s">
        <v>76</v>
      </c>
      <c r="D15" s="32" t="s">
        <v>63</v>
      </c>
      <c r="E15" s="32">
        <v>4</v>
      </c>
      <c r="F15" s="32" t="s">
        <v>64</v>
      </c>
      <c r="G15" s="32" t="s">
        <v>65</v>
      </c>
      <c r="H15" s="32" t="s">
        <v>24</v>
      </c>
      <c r="I15" s="32" t="s">
        <v>66</v>
      </c>
      <c r="J15" s="32" t="s">
        <v>67</v>
      </c>
      <c r="K15" s="32" t="s">
        <v>26</v>
      </c>
      <c r="L15" s="32" t="s">
        <v>68</v>
      </c>
      <c r="M15" s="33">
        <v>0.97130000000000005</v>
      </c>
      <c r="N15" s="28" t="s">
        <v>54</v>
      </c>
      <c r="O15" s="28" t="s">
        <v>55</v>
      </c>
      <c r="P15" s="31" t="s">
        <v>69</v>
      </c>
      <c r="Q15" s="31" t="s">
        <v>70</v>
      </c>
      <c r="R15" s="32" t="s">
        <v>71</v>
      </c>
      <c r="S15" s="104"/>
      <c r="T15" s="62" t="s">
        <v>34</v>
      </c>
      <c r="U15" s="62"/>
      <c r="V15" s="62" t="s">
        <v>34</v>
      </c>
    </row>
    <row r="16" spans="1:22" ht="16.5" x14ac:dyDescent="0.3">
      <c r="A16" s="20">
        <v>15</v>
      </c>
      <c r="B16" s="20" t="s">
        <v>77</v>
      </c>
      <c r="C16" s="65" t="s">
        <v>78</v>
      </c>
      <c r="D16" s="20" t="s">
        <v>63</v>
      </c>
      <c r="E16" s="20">
        <v>4</v>
      </c>
      <c r="F16" s="20" t="s">
        <v>64</v>
      </c>
      <c r="G16" s="20" t="s">
        <v>65</v>
      </c>
      <c r="H16" s="20" t="s">
        <v>24</v>
      </c>
      <c r="I16" s="20" t="s">
        <v>66</v>
      </c>
      <c r="J16" s="20" t="s">
        <v>67</v>
      </c>
      <c r="K16" s="20" t="s">
        <v>26</v>
      </c>
      <c r="L16" s="20" t="s">
        <v>68</v>
      </c>
      <c r="M16" s="24">
        <v>0.97130000000000005</v>
      </c>
      <c r="N16" s="19" t="s">
        <v>54</v>
      </c>
      <c r="O16" s="19" t="s">
        <v>55</v>
      </c>
      <c r="P16" s="22" t="s">
        <v>69</v>
      </c>
      <c r="Q16" s="22" t="s">
        <v>70</v>
      </c>
      <c r="R16" s="20" t="s">
        <v>71</v>
      </c>
      <c r="S16" s="104"/>
      <c r="T16" s="61" t="s">
        <v>34</v>
      </c>
      <c r="U16" s="61"/>
      <c r="V16" s="61" t="s">
        <v>34</v>
      </c>
    </row>
    <row r="17" spans="1:22" ht="16.5" x14ac:dyDescent="0.3">
      <c r="A17" s="32">
        <v>16</v>
      </c>
      <c r="B17" s="32" t="s">
        <v>79</v>
      </c>
      <c r="C17" s="66" t="s">
        <v>80</v>
      </c>
      <c r="D17" s="32" t="s">
        <v>63</v>
      </c>
      <c r="E17" s="32">
        <v>4</v>
      </c>
      <c r="F17" s="32" t="s">
        <v>64</v>
      </c>
      <c r="G17" s="32" t="s">
        <v>65</v>
      </c>
      <c r="H17" s="32" t="s">
        <v>24</v>
      </c>
      <c r="I17" s="32" t="s">
        <v>66</v>
      </c>
      <c r="J17" s="32" t="s">
        <v>67</v>
      </c>
      <c r="K17" s="32" t="s">
        <v>26</v>
      </c>
      <c r="L17" s="32" t="s">
        <v>68</v>
      </c>
      <c r="M17" s="33">
        <v>0.97130000000000005</v>
      </c>
      <c r="N17" s="28" t="s">
        <v>54</v>
      </c>
      <c r="O17" s="28" t="s">
        <v>55</v>
      </c>
      <c r="P17" s="31" t="s">
        <v>69</v>
      </c>
      <c r="Q17" s="31" t="s">
        <v>70</v>
      </c>
      <c r="R17" s="32" t="s">
        <v>71</v>
      </c>
      <c r="S17" s="105"/>
      <c r="T17" s="62" t="s">
        <v>34</v>
      </c>
      <c r="U17" s="62"/>
      <c r="V17" s="62" t="s">
        <v>34</v>
      </c>
    </row>
    <row r="26" spans="1:22" x14ac:dyDescent="0.3">
      <c r="C26" s="12"/>
    </row>
  </sheetData>
  <mergeCells count="2">
    <mergeCell ref="S10:S12"/>
    <mergeCell ref="S13:S17"/>
  </mergeCells>
  <phoneticPr fontId="16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8"/>
  <sheetViews>
    <sheetView zoomScale="80" zoomScaleNormal="80" workbookViewId="0">
      <selection activeCell="C30" sqref="C30"/>
    </sheetView>
  </sheetViews>
  <sheetFormatPr defaultColWidth="9" defaultRowHeight="14" x14ac:dyDescent="0.3"/>
  <cols>
    <col min="1" max="1" width="5.5" customWidth="1"/>
    <col min="2" max="2" width="19.83203125" customWidth="1"/>
    <col min="3" max="3" width="42.58203125" customWidth="1"/>
    <col min="4" max="4" width="17.83203125" customWidth="1"/>
    <col min="5" max="6" width="20.75" customWidth="1"/>
    <col min="7" max="9" width="14.75" customWidth="1"/>
    <col min="10" max="11" width="10.75" customWidth="1"/>
    <col min="12" max="12" width="14.75" customWidth="1"/>
    <col min="13" max="13" width="13.83203125" customWidth="1"/>
    <col min="14" max="15" width="14.75" customWidth="1"/>
    <col min="16" max="19" width="10.75" customWidth="1"/>
    <col min="20" max="20" width="25" customWidth="1"/>
    <col min="21" max="24" width="10.75" customWidth="1"/>
  </cols>
  <sheetData>
    <row r="1" spans="1:24" s="12" customFormat="1" ht="33" x14ac:dyDescent="0.3">
      <c r="A1" s="76" t="s">
        <v>0</v>
      </c>
      <c r="B1" s="76" t="s">
        <v>1</v>
      </c>
      <c r="C1" s="76" t="s">
        <v>2</v>
      </c>
      <c r="D1" s="15" t="s">
        <v>81</v>
      </c>
      <c r="E1" s="15" t="s">
        <v>82</v>
      </c>
      <c r="F1" s="15" t="s">
        <v>13</v>
      </c>
      <c r="G1" s="15" t="s">
        <v>83</v>
      </c>
      <c r="H1" s="15" t="s">
        <v>84</v>
      </c>
      <c r="I1" s="15" t="s">
        <v>85</v>
      </c>
      <c r="J1" s="15" t="s">
        <v>86</v>
      </c>
      <c r="K1" s="15" t="s">
        <v>87</v>
      </c>
      <c r="L1" s="15" t="s">
        <v>14</v>
      </c>
      <c r="M1" s="15" t="s">
        <v>88</v>
      </c>
      <c r="N1" s="15" t="s">
        <v>89</v>
      </c>
      <c r="O1" s="15" t="s">
        <v>90</v>
      </c>
      <c r="P1" s="15" t="s">
        <v>91</v>
      </c>
      <c r="Q1" s="15" t="s">
        <v>92</v>
      </c>
      <c r="R1" s="15" t="s">
        <v>93</v>
      </c>
      <c r="S1" s="15" t="s">
        <v>94</v>
      </c>
      <c r="T1" s="15" t="s">
        <v>95</v>
      </c>
      <c r="U1" s="15" t="s">
        <v>96</v>
      </c>
      <c r="V1" s="15" t="s">
        <v>97</v>
      </c>
      <c r="W1" s="15" t="s">
        <v>98</v>
      </c>
      <c r="X1" s="15" t="s">
        <v>99</v>
      </c>
    </row>
    <row r="2" spans="1:24" s="42" customFormat="1" ht="16.5" x14ac:dyDescent="0.3">
      <c r="A2" s="20">
        <v>1</v>
      </c>
      <c r="B2" s="20" t="s">
        <v>22</v>
      </c>
      <c r="C2" s="65" t="s">
        <v>23</v>
      </c>
      <c r="D2" s="17" t="s">
        <v>100</v>
      </c>
      <c r="E2" s="17" t="s">
        <v>101</v>
      </c>
      <c r="F2" s="19" t="s">
        <v>102</v>
      </c>
      <c r="G2" s="19" t="s">
        <v>33</v>
      </c>
      <c r="H2" s="19" t="s">
        <v>103</v>
      </c>
      <c r="I2" s="36">
        <v>1</v>
      </c>
      <c r="J2" s="24">
        <v>5.4999999999999997E-3</v>
      </c>
      <c r="K2" s="21">
        <v>49.99</v>
      </c>
      <c r="L2" s="19" t="s">
        <v>29</v>
      </c>
      <c r="M2" s="19" t="s">
        <v>104</v>
      </c>
      <c r="N2" s="23" t="s">
        <v>105</v>
      </c>
      <c r="O2" s="20" t="s">
        <v>106</v>
      </c>
      <c r="P2" s="20" t="s">
        <v>104</v>
      </c>
      <c r="Q2" s="20">
        <v>0</v>
      </c>
      <c r="R2" s="20">
        <v>0</v>
      </c>
      <c r="S2" s="20">
        <v>0</v>
      </c>
      <c r="T2" s="19" t="s">
        <v>107</v>
      </c>
      <c r="U2" s="37">
        <v>1</v>
      </c>
      <c r="V2" s="36">
        <v>3</v>
      </c>
      <c r="W2" s="20">
        <v>10</v>
      </c>
      <c r="X2" s="20" t="s">
        <v>33</v>
      </c>
    </row>
    <row r="3" spans="1:24" s="42" customFormat="1" ht="16.5" x14ac:dyDescent="0.3">
      <c r="A3" s="32">
        <v>2</v>
      </c>
      <c r="B3" s="32" t="s">
        <v>35</v>
      </c>
      <c r="C3" s="66" t="s">
        <v>36</v>
      </c>
      <c r="D3" s="26" t="s">
        <v>100</v>
      </c>
      <c r="E3" s="26" t="s">
        <v>101</v>
      </c>
      <c r="F3" s="28" t="s">
        <v>102</v>
      </c>
      <c r="G3" s="28" t="s">
        <v>33</v>
      </c>
      <c r="H3" s="28" t="s">
        <v>103</v>
      </c>
      <c r="I3" s="39">
        <v>1</v>
      </c>
      <c r="J3" s="33">
        <v>5.4999999999999997E-3</v>
      </c>
      <c r="K3" s="30">
        <v>49.99</v>
      </c>
      <c r="L3" s="28" t="s">
        <v>29</v>
      </c>
      <c r="M3" s="28" t="s">
        <v>104</v>
      </c>
      <c r="N3" s="29" t="s">
        <v>105</v>
      </c>
      <c r="O3" s="32" t="s">
        <v>106</v>
      </c>
      <c r="P3" s="32" t="s">
        <v>104</v>
      </c>
      <c r="Q3" s="32">
        <v>0</v>
      </c>
      <c r="R3" s="32">
        <v>0</v>
      </c>
      <c r="S3" s="32">
        <v>0</v>
      </c>
      <c r="T3" s="28" t="s">
        <v>107</v>
      </c>
      <c r="U3" s="41">
        <v>1</v>
      </c>
      <c r="V3" s="39">
        <v>3</v>
      </c>
      <c r="W3" s="32">
        <v>10</v>
      </c>
      <c r="X3" s="32" t="s">
        <v>33</v>
      </c>
    </row>
    <row r="4" spans="1:24" s="42" customFormat="1" ht="16.5" x14ac:dyDescent="0.3">
      <c r="A4" s="20">
        <v>3</v>
      </c>
      <c r="B4" s="20" t="s">
        <v>37</v>
      </c>
      <c r="C4" s="65" t="s">
        <v>38</v>
      </c>
      <c r="D4" s="17" t="s">
        <v>100</v>
      </c>
      <c r="E4" s="17" t="s">
        <v>101</v>
      </c>
      <c r="F4" s="19" t="s">
        <v>102</v>
      </c>
      <c r="G4" s="19" t="s">
        <v>33</v>
      </c>
      <c r="H4" s="19" t="s">
        <v>103</v>
      </c>
      <c r="I4" s="36">
        <v>1</v>
      </c>
      <c r="J4" s="24">
        <v>5.4999999999999997E-3</v>
      </c>
      <c r="K4" s="21">
        <v>49.99</v>
      </c>
      <c r="L4" s="19" t="s">
        <v>29</v>
      </c>
      <c r="M4" s="19" t="s">
        <v>104</v>
      </c>
      <c r="N4" s="23" t="s">
        <v>105</v>
      </c>
      <c r="O4" s="20" t="s">
        <v>106</v>
      </c>
      <c r="P4" s="20" t="s">
        <v>104</v>
      </c>
      <c r="Q4" s="20">
        <v>0</v>
      </c>
      <c r="R4" s="20">
        <v>0</v>
      </c>
      <c r="S4" s="20">
        <v>0</v>
      </c>
      <c r="T4" s="19" t="s">
        <v>107</v>
      </c>
      <c r="U4" s="37">
        <v>1</v>
      </c>
      <c r="V4" s="36">
        <v>3</v>
      </c>
      <c r="W4" s="20">
        <v>10</v>
      </c>
      <c r="X4" s="20" t="s">
        <v>33</v>
      </c>
    </row>
    <row r="5" spans="1:24" s="42" customFormat="1" ht="16.5" x14ac:dyDescent="0.3">
      <c r="A5" s="32">
        <v>4</v>
      </c>
      <c r="B5" s="32" t="s">
        <v>40</v>
      </c>
      <c r="C5" s="66" t="s">
        <v>41</v>
      </c>
      <c r="D5" s="26" t="s">
        <v>100</v>
      </c>
      <c r="E5" s="26" t="s">
        <v>101</v>
      </c>
      <c r="F5" s="28" t="s">
        <v>102</v>
      </c>
      <c r="G5" s="28" t="s">
        <v>33</v>
      </c>
      <c r="H5" s="28" t="s">
        <v>103</v>
      </c>
      <c r="I5" s="39">
        <v>1</v>
      </c>
      <c r="J5" s="33">
        <v>5.4999999999999997E-3</v>
      </c>
      <c r="K5" s="30">
        <v>49.99</v>
      </c>
      <c r="L5" s="28" t="s">
        <v>29</v>
      </c>
      <c r="M5" s="28" t="s">
        <v>104</v>
      </c>
      <c r="N5" s="29" t="s">
        <v>105</v>
      </c>
      <c r="O5" s="32" t="s">
        <v>106</v>
      </c>
      <c r="P5" s="32" t="s">
        <v>104</v>
      </c>
      <c r="Q5" s="32">
        <v>0</v>
      </c>
      <c r="R5" s="32">
        <v>0</v>
      </c>
      <c r="S5" s="32">
        <v>0</v>
      </c>
      <c r="T5" s="28" t="s">
        <v>107</v>
      </c>
      <c r="U5" s="41">
        <v>1</v>
      </c>
      <c r="V5" s="39">
        <v>3</v>
      </c>
      <c r="W5" s="32">
        <v>10</v>
      </c>
      <c r="X5" s="32" t="s">
        <v>33</v>
      </c>
    </row>
    <row r="6" spans="1:24" s="42" customFormat="1" ht="16.5" x14ac:dyDescent="0.3">
      <c r="A6" s="20">
        <v>5</v>
      </c>
      <c r="B6" s="20" t="s">
        <v>42</v>
      </c>
      <c r="C6" s="65" t="s">
        <v>43</v>
      </c>
      <c r="D6" s="17" t="s">
        <v>100</v>
      </c>
      <c r="E6" s="17" t="s">
        <v>101</v>
      </c>
      <c r="F6" s="19" t="s">
        <v>102</v>
      </c>
      <c r="G6" s="19" t="s">
        <v>33</v>
      </c>
      <c r="H6" s="19" t="s">
        <v>103</v>
      </c>
      <c r="I6" s="36">
        <v>1</v>
      </c>
      <c r="J6" s="24">
        <v>5.4999999999999997E-3</v>
      </c>
      <c r="K6" s="21">
        <v>49.99</v>
      </c>
      <c r="L6" s="19" t="s">
        <v>29</v>
      </c>
      <c r="M6" s="19" t="s">
        <v>104</v>
      </c>
      <c r="N6" s="23" t="s">
        <v>105</v>
      </c>
      <c r="O6" s="20" t="s">
        <v>106</v>
      </c>
      <c r="P6" s="20" t="s">
        <v>104</v>
      </c>
      <c r="Q6" s="20">
        <v>0</v>
      </c>
      <c r="R6" s="20">
        <v>0</v>
      </c>
      <c r="S6" s="20">
        <v>0</v>
      </c>
      <c r="T6" s="19" t="s">
        <v>107</v>
      </c>
      <c r="U6" s="37">
        <v>1</v>
      </c>
      <c r="V6" s="36">
        <v>3</v>
      </c>
      <c r="W6" s="20">
        <v>10</v>
      </c>
      <c r="X6" s="20" t="s">
        <v>33</v>
      </c>
    </row>
    <row r="7" spans="1:24" s="42" customFormat="1" ht="16.5" x14ac:dyDescent="0.3">
      <c r="A7" s="32">
        <v>6</v>
      </c>
      <c r="B7" s="32" t="s">
        <v>45</v>
      </c>
      <c r="C7" s="66" t="s">
        <v>46</v>
      </c>
      <c r="D7" s="26" t="s">
        <v>100</v>
      </c>
      <c r="E7" s="26" t="s">
        <v>101</v>
      </c>
      <c r="F7" s="28" t="s">
        <v>102</v>
      </c>
      <c r="G7" s="28" t="s">
        <v>33</v>
      </c>
      <c r="H7" s="28" t="s">
        <v>103</v>
      </c>
      <c r="I7" s="39">
        <v>1</v>
      </c>
      <c r="J7" s="33">
        <v>5.4999999999999997E-3</v>
      </c>
      <c r="K7" s="30">
        <v>49.99</v>
      </c>
      <c r="L7" s="28" t="s">
        <v>29</v>
      </c>
      <c r="M7" s="28" t="s">
        <v>104</v>
      </c>
      <c r="N7" s="29" t="s">
        <v>105</v>
      </c>
      <c r="O7" s="32" t="s">
        <v>106</v>
      </c>
      <c r="P7" s="32" t="s">
        <v>104</v>
      </c>
      <c r="Q7" s="32">
        <v>0</v>
      </c>
      <c r="R7" s="32">
        <v>0</v>
      </c>
      <c r="S7" s="32">
        <v>0</v>
      </c>
      <c r="T7" s="28" t="s">
        <v>107</v>
      </c>
      <c r="U7" s="41">
        <v>1</v>
      </c>
      <c r="V7" s="39">
        <v>3</v>
      </c>
      <c r="W7" s="32">
        <v>10</v>
      </c>
      <c r="X7" s="32" t="s">
        <v>33</v>
      </c>
    </row>
    <row r="8" spans="1:24" s="42" customFormat="1" ht="16.5" x14ac:dyDescent="0.3">
      <c r="A8" s="20">
        <v>7</v>
      </c>
      <c r="B8" s="20" t="s">
        <v>47</v>
      </c>
      <c r="C8" s="65" t="s">
        <v>48</v>
      </c>
      <c r="D8" s="17" t="s">
        <v>100</v>
      </c>
      <c r="E8" s="17" t="s">
        <v>101</v>
      </c>
      <c r="F8" s="19" t="s">
        <v>102</v>
      </c>
      <c r="G8" s="19" t="s">
        <v>33</v>
      </c>
      <c r="H8" s="19" t="s">
        <v>103</v>
      </c>
      <c r="I8" s="36">
        <v>1</v>
      </c>
      <c r="J8" s="24">
        <v>5.4999999999999997E-3</v>
      </c>
      <c r="K8" s="21">
        <v>49.99</v>
      </c>
      <c r="L8" s="19" t="s">
        <v>29</v>
      </c>
      <c r="M8" s="19" t="s">
        <v>104</v>
      </c>
      <c r="N8" s="23" t="s">
        <v>105</v>
      </c>
      <c r="O8" s="20" t="s">
        <v>106</v>
      </c>
      <c r="P8" s="20" t="s">
        <v>104</v>
      </c>
      <c r="Q8" s="20">
        <v>0</v>
      </c>
      <c r="R8" s="20">
        <v>0</v>
      </c>
      <c r="S8" s="20">
        <v>0</v>
      </c>
      <c r="T8" s="19" t="s">
        <v>107</v>
      </c>
      <c r="U8" s="37">
        <v>1</v>
      </c>
      <c r="V8" s="36">
        <v>3</v>
      </c>
      <c r="W8" s="20">
        <v>10</v>
      </c>
      <c r="X8" s="20" t="s">
        <v>33</v>
      </c>
    </row>
    <row r="9" spans="1:24" s="42" customFormat="1" ht="16.5" x14ac:dyDescent="0.3">
      <c r="A9" s="32">
        <v>8</v>
      </c>
      <c r="B9" s="32" t="s">
        <v>50</v>
      </c>
      <c r="C9" s="66" t="s">
        <v>51</v>
      </c>
      <c r="D9" s="26" t="s">
        <v>100</v>
      </c>
      <c r="E9" s="26" t="s">
        <v>101</v>
      </c>
      <c r="F9" s="28" t="s">
        <v>102</v>
      </c>
      <c r="G9" s="28" t="s">
        <v>33</v>
      </c>
      <c r="H9" s="28" t="s">
        <v>103</v>
      </c>
      <c r="I9" s="39">
        <v>1</v>
      </c>
      <c r="J9" s="33">
        <v>5.4999999999999997E-3</v>
      </c>
      <c r="K9" s="30">
        <v>49.99</v>
      </c>
      <c r="L9" s="28" t="s">
        <v>29</v>
      </c>
      <c r="M9" s="28" t="s">
        <v>104</v>
      </c>
      <c r="N9" s="29" t="s">
        <v>105</v>
      </c>
      <c r="O9" s="32" t="s">
        <v>106</v>
      </c>
      <c r="P9" s="32" t="s">
        <v>104</v>
      </c>
      <c r="Q9" s="32">
        <v>0</v>
      </c>
      <c r="R9" s="32">
        <v>0</v>
      </c>
      <c r="S9" s="32">
        <v>0</v>
      </c>
      <c r="T9" s="28" t="s">
        <v>107</v>
      </c>
      <c r="U9" s="41">
        <v>1</v>
      </c>
      <c r="V9" s="39">
        <v>3</v>
      </c>
      <c r="W9" s="32">
        <v>10</v>
      </c>
      <c r="X9" s="32" t="s">
        <v>33</v>
      </c>
    </row>
    <row r="10" spans="1:24" s="42" customFormat="1" ht="16.5" x14ac:dyDescent="0.3">
      <c r="A10" s="20">
        <v>9</v>
      </c>
      <c r="B10" s="20" t="s">
        <v>52</v>
      </c>
      <c r="C10" s="65" t="s">
        <v>53</v>
      </c>
      <c r="D10" s="17" t="s">
        <v>108</v>
      </c>
      <c r="E10" s="17" t="s">
        <v>109</v>
      </c>
      <c r="F10" s="19" t="s">
        <v>110</v>
      </c>
      <c r="G10" s="19" t="s">
        <v>33</v>
      </c>
      <c r="H10" s="19" t="s">
        <v>111</v>
      </c>
      <c r="I10" s="36">
        <v>1</v>
      </c>
      <c r="J10" s="24">
        <v>4.7999999999999996E-3</v>
      </c>
      <c r="K10" s="21">
        <v>49.99</v>
      </c>
      <c r="L10" s="19" t="s">
        <v>55</v>
      </c>
      <c r="M10" s="19" t="s">
        <v>112</v>
      </c>
      <c r="N10" s="23" t="s">
        <v>113</v>
      </c>
      <c r="O10" s="20" t="s">
        <v>106</v>
      </c>
      <c r="P10" s="20" t="s">
        <v>114</v>
      </c>
      <c r="Q10" s="20">
        <v>0</v>
      </c>
      <c r="R10" s="20">
        <v>0</v>
      </c>
      <c r="S10" s="20">
        <v>0</v>
      </c>
      <c r="T10" s="19" t="s">
        <v>115</v>
      </c>
      <c r="U10" s="37">
        <v>1</v>
      </c>
      <c r="V10" s="36">
        <v>3</v>
      </c>
      <c r="W10" s="20">
        <v>10</v>
      </c>
      <c r="X10" s="20" t="s">
        <v>33</v>
      </c>
    </row>
    <row r="11" spans="1:24" s="42" customFormat="1" ht="16.5" x14ac:dyDescent="0.3">
      <c r="A11" s="32">
        <v>10</v>
      </c>
      <c r="B11" s="32" t="s">
        <v>57</v>
      </c>
      <c r="C11" s="66" t="s">
        <v>58</v>
      </c>
      <c r="D11" s="26" t="s">
        <v>108</v>
      </c>
      <c r="E11" s="26" t="s">
        <v>109</v>
      </c>
      <c r="F11" s="28" t="s">
        <v>110</v>
      </c>
      <c r="G11" s="28" t="s">
        <v>33</v>
      </c>
      <c r="H11" s="28" t="s">
        <v>111</v>
      </c>
      <c r="I11" s="39">
        <v>1</v>
      </c>
      <c r="J11" s="33">
        <v>4.7999999999999996E-3</v>
      </c>
      <c r="K11" s="30">
        <v>49.99</v>
      </c>
      <c r="L11" s="28" t="s">
        <v>55</v>
      </c>
      <c r="M11" s="28" t="s">
        <v>112</v>
      </c>
      <c r="N11" s="82" t="s">
        <v>113</v>
      </c>
      <c r="O11" s="32" t="s">
        <v>106</v>
      </c>
      <c r="P11" s="32" t="s">
        <v>114</v>
      </c>
      <c r="Q11" s="32">
        <v>0</v>
      </c>
      <c r="R11" s="32">
        <v>0</v>
      </c>
      <c r="S11" s="32">
        <v>0</v>
      </c>
      <c r="T11" s="28" t="s">
        <v>115</v>
      </c>
      <c r="U11" s="41">
        <v>1</v>
      </c>
      <c r="V11" s="39">
        <v>3</v>
      </c>
      <c r="W11" s="32">
        <v>10</v>
      </c>
      <c r="X11" s="32" t="s">
        <v>33</v>
      </c>
    </row>
    <row r="12" spans="1:24" s="42" customFormat="1" ht="16.5" x14ac:dyDescent="0.3">
      <c r="A12" s="20">
        <v>11</v>
      </c>
      <c r="B12" s="20" t="s">
        <v>59</v>
      </c>
      <c r="C12" s="65" t="s">
        <v>60</v>
      </c>
      <c r="D12" s="17" t="s">
        <v>108</v>
      </c>
      <c r="E12" s="17" t="s">
        <v>109</v>
      </c>
      <c r="F12" s="19" t="s">
        <v>110</v>
      </c>
      <c r="G12" s="19" t="s">
        <v>33</v>
      </c>
      <c r="H12" s="19" t="s">
        <v>111</v>
      </c>
      <c r="I12" s="36">
        <v>1</v>
      </c>
      <c r="J12" s="24">
        <v>4.7999999999999996E-3</v>
      </c>
      <c r="K12" s="21">
        <v>49.99</v>
      </c>
      <c r="L12" s="19" t="s">
        <v>55</v>
      </c>
      <c r="M12" s="19" t="s">
        <v>112</v>
      </c>
      <c r="N12" s="23" t="s">
        <v>113</v>
      </c>
      <c r="O12" s="20" t="s">
        <v>106</v>
      </c>
      <c r="P12" s="20" t="s">
        <v>114</v>
      </c>
      <c r="Q12" s="20">
        <v>0</v>
      </c>
      <c r="R12" s="20">
        <v>0</v>
      </c>
      <c r="S12" s="20">
        <v>0</v>
      </c>
      <c r="T12" s="19" t="s">
        <v>115</v>
      </c>
      <c r="U12" s="37">
        <v>1</v>
      </c>
      <c r="V12" s="36">
        <v>3</v>
      </c>
      <c r="W12" s="20">
        <v>10</v>
      </c>
      <c r="X12" s="20" t="s">
        <v>33</v>
      </c>
    </row>
    <row r="13" spans="1:24" s="42" customFormat="1" ht="16.5" x14ac:dyDescent="0.3">
      <c r="A13" s="32">
        <v>12</v>
      </c>
      <c r="B13" s="32" t="s">
        <v>61</v>
      </c>
      <c r="C13" s="66" t="s">
        <v>62</v>
      </c>
      <c r="D13" s="26" t="s">
        <v>108</v>
      </c>
      <c r="E13" s="26" t="s">
        <v>109</v>
      </c>
      <c r="F13" s="28" t="s">
        <v>110</v>
      </c>
      <c r="G13" s="28" t="s">
        <v>33</v>
      </c>
      <c r="H13" s="28" t="s">
        <v>111</v>
      </c>
      <c r="I13" s="39">
        <v>1</v>
      </c>
      <c r="J13" s="33">
        <v>4.7999999999999996E-3</v>
      </c>
      <c r="K13" s="30">
        <v>49.99</v>
      </c>
      <c r="L13" s="28" t="s">
        <v>55</v>
      </c>
      <c r="M13" s="28" t="s">
        <v>112</v>
      </c>
      <c r="N13" s="82" t="s">
        <v>113</v>
      </c>
      <c r="O13" s="32" t="s">
        <v>106</v>
      </c>
      <c r="P13" s="32" t="s">
        <v>114</v>
      </c>
      <c r="Q13" s="32">
        <v>0</v>
      </c>
      <c r="R13" s="32">
        <v>0</v>
      </c>
      <c r="S13" s="32">
        <v>0</v>
      </c>
      <c r="T13" s="28" t="s">
        <v>115</v>
      </c>
      <c r="U13" s="41">
        <v>1</v>
      </c>
      <c r="V13" s="39">
        <v>3</v>
      </c>
      <c r="W13" s="32">
        <v>10</v>
      </c>
      <c r="X13" s="32" t="s">
        <v>33</v>
      </c>
    </row>
    <row r="14" spans="1:24" s="42" customFormat="1" ht="16.5" x14ac:dyDescent="0.3">
      <c r="A14" s="20">
        <v>13</v>
      </c>
      <c r="B14" s="20" t="s">
        <v>73</v>
      </c>
      <c r="C14" s="65" t="s">
        <v>74</v>
      </c>
      <c r="D14" s="17" t="s">
        <v>108</v>
      </c>
      <c r="E14" s="17" t="s">
        <v>109</v>
      </c>
      <c r="F14" s="19" t="s">
        <v>110</v>
      </c>
      <c r="G14" s="19" t="s">
        <v>33</v>
      </c>
      <c r="H14" s="19" t="s">
        <v>111</v>
      </c>
      <c r="I14" s="36">
        <v>1</v>
      </c>
      <c r="J14" s="24">
        <v>4.7999999999999996E-3</v>
      </c>
      <c r="K14" s="21">
        <v>49.99</v>
      </c>
      <c r="L14" s="19" t="s">
        <v>55</v>
      </c>
      <c r="M14" s="19" t="s">
        <v>112</v>
      </c>
      <c r="N14" s="23" t="s">
        <v>113</v>
      </c>
      <c r="O14" s="20" t="s">
        <v>106</v>
      </c>
      <c r="P14" s="20" t="s">
        <v>114</v>
      </c>
      <c r="Q14" s="20">
        <v>0</v>
      </c>
      <c r="R14" s="20">
        <v>0</v>
      </c>
      <c r="S14" s="20">
        <v>0</v>
      </c>
      <c r="T14" s="19" t="s">
        <v>115</v>
      </c>
      <c r="U14" s="37">
        <v>1</v>
      </c>
      <c r="V14" s="36">
        <v>3</v>
      </c>
      <c r="W14" s="20">
        <v>10</v>
      </c>
      <c r="X14" s="20" t="s">
        <v>33</v>
      </c>
    </row>
    <row r="15" spans="1:24" s="42" customFormat="1" ht="16.5" x14ac:dyDescent="0.3">
      <c r="A15" s="32">
        <v>14</v>
      </c>
      <c r="B15" s="32" t="s">
        <v>75</v>
      </c>
      <c r="C15" s="66" t="s">
        <v>76</v>
      </c>
      <c r="D15" s="26" t="s">
        <v>108</v>
      </c>
      <c r="E15" s="26" t="s">
        <v>109</v>
      </c>
      <c r="F15" s="28" t="s">
        <v>110</v>
      </c>
      <c r="G15" s="28" t="s">
        <v>33</v>
      </c>
      <c r="H15" s="28" t="s">
        <v>111</v>
      </c>
      <c r="I15" s="39">
        <v>1</v>
      </c>
      <c r="J15" s="33">
        <v>4.7999999999999996E-3</v>
      </c>
      <c r="K15" s="30">
        <v>49.99</v>
      </c>
      <c r="L15" s="28" t="s">
        <v>55</v>
      </c>
      <c r="M15" s="28" t="s">
        <v>112</v>
      </c>
      <c r="N15" s="82" t="s">
        <v>113</v>
      </c>
      <c r="O15" s="32" t="s">
        <v>106</v>
      </c>
      <c r="P15" s="32" t="s">
        <v>114</v>
      </c>
      <c r="Q15" s="32">
        <v>0</v>
      </c>
      <c r="R15" s="32">
        <v>0</v>
      </c>
      <c r="S15" s="32">
        <v>0</v>
      </c>
      <c r="T15" s="28" t="s">
        <v>115</v>
      </c>
      <c r="U15" s="41">
        <v>1</v>
      </c>
      <c r="V15" s="39">
        <v>3</v>
      </c>
      <c r="W15" s="32">
        <v>10</v>
      </c>
      <c r="X15" s="32" t="s">
        <v>33</v>
      </c>
    </row>
    <row r="16" spans="1:24" s="42" customFormat="1" ht="16.5" x14ac:dyDescent="0.3">
      <c r="A16" s="20">
        <v>15</v>
      </c>
      <c r="B16" s="20" t="s">
        <v>77</v>
      </c>
      <c r="C16" s="65" t="s">
        <v>78</v>
      </c>
      <c r="D16" s="17" t="s">
        <v>108</v>
      </c>
      <c r="E16" s="17" t="s">
        <v>109</v>
      </c>
      <c r="F16" s="19" t="s">
        <v>110</v>
      </c>
      <c r="G16" s="19" t="s">
        <v>33</v>
      </c>
      <c r="H16" s="19" t="s">
        <v>111</v>
      </c>
      <c r="I16" s="36">
        <v>1</v>
      </c>
      <c r="J16" s="24">
        <v>4.7999999999999996E-3</v>
      </c>
      <c r="K16" s="21">
        <v>49.99</v>
      </c>
      <c r="L16" s="19" t="s">
        <v>55</v>
      </c>
      <c r="M16" s="19" t="s">
        <v>112</v>
      </c>
      <c r="N16" s="23" t="s">
        <v>113</v>
      </c>
      <c r="O16" s="20" t="s">
        <v>106</v>
      </c>
      <c r="P16" s="20" t="s">
        <v>114</v>
      </c>
      <c r="Q16" s="20">
        <v>0</v>
      </c>
      <c r="R16" s="20">
        <v>0</v>
      </c>
      <c r="S16" s="20">
        <v>0</v>
      </c>
      <c r="T16" s="19" t="s">
        <v>115</v>
      </c>
      <c r="U16" s="37">
        <v>1</v>
      </c>
      <c r="V16" s="36">
        <v>3</v>
      </c>
      <c r="W16" s="20">
        <v>10</v>
      </c>
      <c r="X16" s="20" t="s">
        <v>33</v>
      </c>
    </row>
    <row r="17" spans="1:24" s="42" customFormat="1" ht="16.5" x14ac:dyDescent="0.3">
      <c r="A17" s="32">
        <v>16</v>
      </c>
      <c r="B17" s="32" t="s">
        <v>79</v>
      </c>
      <c r="C17" s="66" t="s">
        <v>80</v>
      </c>
      <c r="D17" s="26" t="s">
        <v>108</v>
      </c>
      <c r="E17" s="26" t="s">
        <v>109</v>
      </c>
      <c r="F17" s="28" t="s">
        <v>110</v>
      </c>
      <c r="G17" s="28" t="s">
        <v>33</v>
      </c>
      <c r="H17" s="28" t="s">
        <v>111</v>
      </c>
      <c r="I17" s="39">
        <v>1</v>
      </c>
      <c r="J17" s="33">
        <v>4.7999999999999996E-3</v>
      </c>
      <c r="K17" s="30">
        <v>49.99</v>
      </c>
      <c r="L17" s="28" t="s">
        <v>55</v>
      </c>
      <c r="M17" s="28" t="s">
        <v>112</v>
      </c>
      <c r="N17" s="82" t="s">
        <v>113</v>
      </c>
      <c r="O17" s="32" t="s">
        <v>106</v>
      </c>
      <c r="P17" s="32" t="s">
        <v>114</v>
      </c>
      <c r="Q17" s="32">
        <v>0</v>
      </c>
      <c r="R17" s="32">
        <v>0</v>
      </c>
      <c r="S17" s="32">
        <v>0</v>
      </c>
      <c r="T17" s="28" t="s">
        <v>115</v>
      </c>
      <c r="U17" s="41">
        <v>1</v>
      </c>
      <c r="V17" s="39">
        <v>3</v>
      </c>
      <c r="W17" s="32">
        <v>10</v>
      </c>
      <c r="X17" s="32" t="s">
        <v>33</v>
      </c>
    </row>
    <row r="18" spans="1:24" ht="16.5" x14ac:dyDescent="0.3">
      <c r="E18" s="73" t="s">
        <v>116</v>
      </c>
      <c r="F18" s="73" t="s">
        <v>116</v>
      </c>
      <c r="G18" s="53"/>
      <c r="L18" s="74" t="s">
        <v>117</v>
      </c>
      <c r="M18" s="74" t="s">
        <v>118</v>
      </c>
      <c r="N18" s="34" t="s">
        <v>119</v>
      </c>
      <c r="O18" s="34" t="s">
        <v>119</v>
      </c>
      <c r="R18" s="34" t="s">
        <v>120</v>
      </c>
      <c r="S18" s="34"/>
      <c r="T18" s="34" t="s">
        <v>116</v>
      </c>
      <c r="W18" s="54">
        <v>1.25</v>
      </c>
      <c r="X18" s="54"/>
    </row>
  </sheetData>
  <phoneticPr fontId="16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zoomScale="80" zoomScaleNormal="80" workbookViewId="0">
      <selection activeCell="M23" sqref="M23"/>
    </sheetView>
  </sheetViews>
  <sheetFormatPr defaultColWidth="9" defaultRowHeight="14" x14ac:dyDescent="0.3"/>
  <cols>
    <col min="1" max="1" width="6.33203125" customWidth="1"/>
    <col min="2" max="2" width="23.25" customWidth="1"/>
    <col min="3" max="3" width="45.83203125" customWidth="1"/>
    <col min="4" max="5" width="10.75" customWidth="1"/>
    <col min="6" max="6" width="8.5" customWidth="1"/>
    <col min="7" max="7" width="13.33203125" customWidth="1"/>
    <col min="8" max="8" width="15" customWidth="1"/>
    <col min="9" max="9" width="11.08203125" customWidth="1"/>
    <col min="10" max="11" width="8.5" customWidth="1"/>
    <col min="12" max="12" width="24.75" customWidth="1"/>
    <col min="13" max="13" width="10.75" customWidth="1"/>
    <col min="14" max="14" width="12.08203125" customWidth="1"/>
    <col min="15" max="15" width="13.25" customWidth="1"/>
    <col min="16" max="16" width="40.25" customWidth="1"/>
    <col min="17" max="17" width="8.25" customWidth="1"/>
    <col min="18" max="18" width="6.33203125" customWidth="1"/>
    <col min="19" max="20" width="10.75" customWidth="1"/>
    <col min="21" max="21" width="12.5" customWidth="1"/>
    <col min="22" max="22" width="6.33203125" customWidth="1"/>
    <col min="23" max="23" width="4.58203125" customWidth="1"/>
    <col min="24" max="24" width="16.08203125" customWidth="1"/>
    <col min="25" max="25" width="6.33203125" customWidth="1"/>
  </cols>
  <sheetData>
    <row r="1" spans="1:25" s="75" customFormat="1" ht="16.5" x14ac:dyDescent="0.3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121</v>
      </c>
      <c r="L1" s="76" t="s">
        <v>122</v>
      </c>
      <c r="M1" s="76" t="s">
        <v>12</v>
      </c>
      <c r="N1" s="76" t="s">
        <v>13</v>
      </c>
      <c r="O1" s="76" t="s">
        <v>14</v>
      </c>
      <c r="P1" s="76" t="s">
        <v>15</v>
      </c>
      <c r="Q1" s="76" t="s">
        <v>16</v>
      </c>
      <c r="R1" s="76" t="s">
        <v>17</v>
      </c>
      <c r="S1" s="76" t="s">
        <v>123</v>
      </c>
      <c r="T1" s="76" t="s">
        <v>124</v>
      </c>
      <c r="U1" s="76" t="s">
        <v>18</v>
      </c>
      <c r="V1" s="15" t="s">
        <v>19</v>
      </c>
      <c r="W1" s="15" t="s">
        <v>20</v>
      </c>
      <c r="X1" s="15" t="s">
        <v>21</v>
      </c>
      <c r="Y1" s="15" t="s">
        <v>125</v>
      </c>
    </row>
    <row r="2" spans="1:25" s="75" customFormat="1" ht="16.5" x14ac:dyDescent="0.3">
      <c r="A2" s="20">
        <v>1</v>
      </c>
      <c r="B2" s="20" t="s">
        <v>126</v>
      </c>
      <c r="C2" s="65" t="s">
        <v>127</v>
      </c>
      <c r="D2" s="20">
        <v>1</v>
      </c>
      <c r="E2" s="20" t="s">
        <v>24</v>
      </c>
      <c r="F2" s="20" t="s">
        <v>24</v>
      </c>
      <c r="G2" s="20" t="s">
        <v>24</v>
      </c>
      <c r="H2" s="20" t="s">
        <v>24</v>
      </c>
      <c r="I2" s="20" t="s">
        <v>25</v>
      </c>
      <c r="J2" s="20" t="s">
        <v>24</v>
      </c>
      <c r="K2" s="20" t="s">
        <v>26</v>
      </c>
      <c r="L2" s="83" t="s">
        <v>579</v>
      </c>
      <c r="M2" s="24">
        <v>0.96360000000000001</v>
      </c>
      <c r="N2" s="19" t="s">
        <v>128</v>
      </c>
      <c r="O2" s="19" t="s">
        <v>129</v>
      </c>
      <c r="P2" s="22" t="s">
        <v>30</v>
      </c>
      <c r="Q2" s="22" t="s">
        <v>31</v>
      </c>
      <c r="R2" s="20" t="s">
        <v>130</v>
      </c>
      <c r="S2" s="20" t="s">
        <v>131</v>
      </c>
      <c r="T2" s="20" t="s">
        <v>33</v>
      </c>
      <c r="U2" s="35"/>
      <c r="V2" s="61" t="s">
        <v>34</v>
      </c>
      <c r="W2" s="61"/>
      <c r="X2" s="61" t="s">
        <v>34</v>
      </c>
      <c r="Y2" s="61"/>
    </row>
    <row r="3" spans="1:25" s="75" customFormat="1" ht="16.5" x14ac:dyDescent="0.3">
      <c r="A3" s="32">
        <v>2</v>
      </c>
      <c r="B3" s="32" t="s">
        <v>132</v>
      </c>
      <c r="C3" s="66" t="s">
        <v>133</v>
      </c>
      <c r="D3" s="32">
        <v>1</v>
      </c>
      <c r="E3" s="32" t="s">
        <v>24</v>
      </c>
      <c r="F3" s="32" t="s">
        <v>24</v>
      </c>
      <c r="G3" s="32" t="s">
        <v>24</v>
      </c>
      <c r="H3" s="32" t="s">
        <v>24</v>
      </c>
      <c r="I3" s="32">
        <v>3</v>
      </c>
      <c r="J3" s="32" t="s">
        <v>24</v>
      </c>
      <c r="K3" s="32" t="s">
        <v>26</v>
      </c>
      <c r="L3" s="84" t="s">
        <v>579</v>
      </c>
      <c r="M3" s="33">
        <v>0.96360000000000001</v>
      </c>
      <c r="N3" s="28" t="s">
        <v>128</v>
      </c>
      <c r="O3" s="28" t="s">
        <v>129</v>
      </c>
      <c r="P3" s="31" t="s">
        <v>30</v>
      </c>
      <c r="Q3" s="31" t="s">
        <v>31</v>
      </c>
      <c r="R3" s="32" t="s">
        <v>130</v>
      </c>
      <c r="S3" s="32" t="s">
        <v>131</v>
      </c>
      <c r="T3" s="32" t="s">
        <v>33</v>
      </c>
      <c r="U3" s="38"/>
      <c r="V3" s="62" t="s">
        <v>34</v>
      </c>
      <c r="W3" s="62"/>
      <c r="X3" s="62" t="s">
        <v>34</v>
      </c>
      <c r="Y3" s="62"/>
    </row>
    <row r="4" spans="1:25" s="75" customFormat="1" ht="16.5" x14ac:dyDescent="0.3">
      <c r="A4" s="20">
        <v>3</v>
      </c>
      <c r="B4" s="20" t="s">
        <v>134</v>
      </c>
      <c r="C4" s="65" t="s">
        <v>135</v>
      </c>
      <c r="D4" s="20">
        <v>1</v>
      </c>
      <c r="E4" s="20" t="s">
        <v>24</v>
      </c>
      <c r="F4" s="20" t="s">
        <v>24</v>
      </c>
      <c r="G4" s="20" t="s">
        <v>24</v>
      </c>
      <c r="H4" s="20" t="s">
        <v>24</v>
      </c>
      <c r="I4" s="20" t="s">
        <v>39</v>
      </c>
      <c r="J4" s="20" t="s">
        <v>24</v>
      </c>
      <c r="K4" s="20" t="s">
        <v>26</v>
      </c>
      <c r="L4" s="83" t="s">
        <v>579</v>
      </c>
      <c r="M4" s="24">
        <v>0.96360000000000001</v>
      </c>
      <c r="N4" s="19" t="s">
        <v>128</v>
      </c>
      <c r="O4" s="19" t="s">
        <v>129</v>
      </c>
      <c r="P4" s="22" t="s">
        <v>30</v>
      </c>
      <c r="Q4" s="22" t="s">
        <v>31</v>
      </c>
      <c r="R4" s="20" t="s">
        <v>130</v>
      </c>
      <c r="S4" s="20" t="s">
        <v>131</v>
      </c>
      <c r="T4" s="20" t="s">
        <v>33</v>
      </c>
      <c r="U4" s="35"/>
      <c r="V4" s="61" t="s">
        <v>34</v>
      </c>
      <c r="W4" s="61"/>
      <c r="X4" s="61" t="s">
        <v>34</v>
      </c>
      <c r="Y4" s="61"/>
    </row>
    <row r="5" spans="1:25" s="75" customFormat="1" ht="16.5" x14ac:dyDescent="0.3">
      <c r="A5" s="32">
        <v>4</v>
      </c>
      <c r="B5" s="32" t="s">
        <v>136</v>
      </c>
      <c r="C5" s="66" t="s">
        <v>137</v>
      </c>
      <c r="D5" s="32">
        <v>1</v>
      </c>
      <c r="E5" s="32" t="s">
        <v>24</v>
      </c>
      <c r="F5" s="32" t="s">
        <v>24</v>
      </c>
      <c r="G5" s="32" t="s">
        <v>24</v>
      </c>
      <c r="H5" s="32" t="s">
        <v>24</v>
      </c>
      <c r="I5" s="32">
        <v>6</v>
      </c>
      <c r="J5" s="32" t="s">
        <v>24</v>
      </c>
      <c r="K5" s="32" t="s">
        <v>26</v>
      </c>
      <c r="L5" s="84" t="s">
        <v>579</v>
      </c>
      <c r="M5" s="33">
        <v>0.96360000000000001</v>
      </c>
      <c r="N5" s="28" t="s">
        <v>128</v>
      </c>
      <c r="O5" s="28" t="s">
        <v>129</v>
      </c>
      <c r="P5" s="31" t="s">
        <v>30</v>
      </c>
      <c r="Q5" s="31" t="s">
        <v>31</v>
      </c>
      <c r="R5" s="32" t="s">
        <v>130</v>
      </c>
      <c r="S5" s="32" t="s">
        <v>131</v>
      </c>
      <c r="T5" s="32" t="s">
        <v>33</v>
      </c>
      <c r="U5" s="38"/>
      <c r="V5" s="62" t="s">
        <v>34</v>
      </c>
      <c r="W5" s="62"/>
      <c r="X5" s="62" t="s">
        <v>34</v>
      </c>
      <c r="Y5" s="62"/>
    </row>
    <row r="6" spans="1:25" s="75" customFormat="1" ht="16.5" x14ac:dyDescent="0.3">
      <c r="A6" s="20">
        <v>5</v>
      </c>
      <c r="B6" s="20" t="s">
        <v>138</v>
      </c>
      <c r="C6" s="65" t="s">
        <v>139</v>
      </c>
      <c r="D6" s="20">
        <v>1</v>
      </c>
      <c r="E6" s="20" t="s">
        <v>24</v>
      </c>
      <c r="F6" s="20" t="s">
        <v>24</v>
      </c>
      <c r="G6" s="20" t="s">
        <v>24</v>
      </c>
      <c r="H6" s="20" t="s">
        <v>24</v>
      </c>
      <c r="I6" s="20" t="s">
        <v>44</v>
      </c>
      <c r="J6" s="20" t="s">
        <v>24</v>
      </c>
      <c r="K6" s="20" t="s">
        <v>26</v>
      </c>
      <c r="L6" s="83" t="s">
        <v>579</v>
      </c>
      <c r="M6" s="24">
        <v>0.96360000000000001</v>
      </c>
      <c r="N6" s="19" t="s">
        <v>128</v>
      </c>
      <c r="O6" s="19" t="s">
        <v>129</v>
      </c>
      <c r="P6" s="22" t="s">
        <v>30</v>
      </c>
      <c r="Q6" s="22" t="s">
        <v>31</v>
      </c>
      <c r="R6" s="20" t="s">
        <v>130</v>
      </c>
      <c r="S6" s="20" t="s">
        <v>131</v>
      </c>
      <c r="T6" s="20" t="s">
        <v>33</v>
      </c>
      <c r="U6" s="35"/>
      <c r="V6" s="61" t="s">
        <v>34</v>
      </c>
      <c r="W6" s="61"/>
      <c r="X6" s="61" t="s">
        <v>34</v>
      </c>
      <c r="Y6" s="61"/>
    </row>
    <row r="7" spans="1:25" s="75" customFormat="1" ht="16.5" x14ac:dyDescent="0.3">
      <c r="A7" s="32">
        <v>6</v>
      </c>
      <c r="B7" s="32" t="s">
        <v>140</v>
      </c>
      <c r="C7" s="66" t="s">
        <v>141</v>
      </c>
      <c r="D7" s="32">
        <v>1</v>
      </c>
      <c r="E7" s="32" t="s">
        <v>24</v>
      </c>
      <c r="F7" s="32" t="s">
        <v>24</v>
      </c>
      <c r="G7" s="32" t="s">
        <v>24</v>
      </c>
      <c r="H7" s="32" t="s">
        <v>24</v>
      </c>
      <c r="I7" s="32">
        <v>8</v>
      </c>
      <c r="J7" s="32" t="s">
        <v>24</v>
      </c>
      <c r="K7" s="32" t="s">
        <v>26</v>
      </c>
      <c r="L7" s="84" t="s">
        <v>579</v>
      </c>
      <c r="M7" s="33">
        <v>0.96360000000000001</v>
      </c>
      <c r="N7" s="28" t="s">
        <v>128</v>
      </c>
      <c r="O7" s="28" t="s">
        <v>129</v>
      </c>
      <c r="P7" s="31" t="s">
        <v>30</v>
      </c>
      <c r="Q7" s="31" t="s">
        <v>31</v>
      </c>
      <c r="R7" s="32" t="s">
        <v>130</v>
      </c>
      <c r="S7" s="32" t="s">
        <v>131</v>
      </c>
      <c r="T7" s="32" t="s">
        <v>33</v>
      </c>
      <c r="U7" s="38"/>
      <c r="V7" s="62" t="s">
        <v>34</v>
      </c>
      <c r="W7" s="77"/>
      <c r="X7" s="62" t="s">
        <v>34</v>
      </c>
      <c r="Y7" s="62"/>
    </row>
    <row r="8" spans="1:25" s="75" customFormat="1" ht="16.5" x14ac:dyDescent="0.3">
      <c r="A8" s="20">
        <v>7</v>
      </c>
      <c r="B8" s="20" t="s">
        <v>142</v>
      </c>
      <c r="C8" s="65" t="s">
        <v>143</v>
      </c>
      <c r="D8" s="20">
        <v>1</v>
      </c>
      <c r="E8" s="20" t="s">
        <v>24</v>
      </c>
      <c r="F8" s="20" t="s">
        <v>24</v>
      </c>
      <c r="G8" s="20" t="s">
        <v>24</v>
      </c>
      <c r="H8" s="20" t="s">
        <v>24</v>
      </c>
      <c r="I8" s="20" t="s">
        <v>49</v>
      </c>
      <c r="J8" s="20" t="s">
        <v>24</v>
      </c>
      <c r="K8" s="20" t="s">
        <v>26</v>
      </c>
      <c r="L8" s="83" t="s">
        <v>579</v>
      </c>
      <c r="M8" s="24">
        <v>0.96360000000000001</v>
      </c>
      <c r="N8" s="19" t="s">
        <v>128</v>
      </c>
      <c r="O8" s="19" t="s">
        <v>129</v>
      </c>
      <c r="P8" s="22" t="s">
        <v>30</v>
      </c>
      <c r="Q8" s="22" t="s">
        <v>31</v>
      </c>
      <c r="R8" s="20" t="s">
        <v>130</v>
      </c>
      <c r="S8" s="20" t="s">
        <v>131</v>
      </c>
      <c r="T8" s="20" t="s">
        <v>144</v>
      </c>
      <c r="U8" s="35"/>
      <c r="V8" s="61" t="s">
        <v>34</v>
      </c>
      <c r="W8" s="61"/>
      <c r="X8" s="61" t="s">
        <v>34</v>
      </c>
      <c r="Y8" s="61"/>
    </row>
    <row r="9" spans="1:25" s="75" customFormat="1" ht="16.5" x14ac:dyDescent="0.3">
      <c r="A9" s="32">
        <v>8</v>
      </c>
      <c r="B9" s="32" t="s">
        <v>145</v>
      </c>
      <c r="C9" s="66" t="s">
        <v>146</v>
      </c>
      <c r="D9" s="32">
        <v>1</v>
      </c>
      <c r="E9" s="32" t="s">
        <v>24</v>
      </c>
      <c r="F9" s="32" t="s">
        <v>24</v>
      </c>
      <c r="G9" s="32" t="s">
        <v>24</v>
      </c>
      <c r="H9" s="32" t="s">
        <v>24</v>
      </c>
      <c r="I9" s="32" t="s">
        <v>49</v>
      </c>
      <c r="J9" s="32" t="s">
        <v>24</v>
      </c>
      <c r="K9" s="32" t="s">
        <v>26</v>
      </c>
      <c r="L9" s="84" t="s">
        <v>579</v>
      </c>
      <c r="M9" s="33">
        <v>0.96360000000000001</v>
      </c>
      <c r="N9" s="28" t="s">
        <v>128</v>
      </c>
      <c r="O9" s="28" t="s">
        <v>129</v>
      </c>
      <c r="P9" s="31" t="s">
        <v>30</v>
      </c>
      <c r="Q9" s="31" t="s">
        <v>31</v>
      </c>
      <c r="R9" s="32" t="s">
        <v>130</v>
      </c>
      <c r="S9" s="32" t="s">
        <v>131</v>
      </c>
      <c r="T9" s="32" t="s">
        <v>144</v>
      </c>
      <c r="U9" s="38"/>
      <c r="V9" s="62" t="s">
        <v>34</v>
      </c>
      <c r="W9" s="62"/>
      <c r="X9" s="62" t="s">
        <v>34</v>
      </c>
      <c r="Y9" s="62"/>
    </row>
    <row r="10" spans="1:25" s="75" customFormat="1" ht="16.5" x14ac:dyDescent="0.45">
      <c r="A10" s="20">
        <v>9</v>
      </c>
      <c r="B10" s="67" t="s">
        <v>147</v>
      </c>
      <c r="C10" s="65" t="s">
        <v>148</v>
      </c>
      <c r="D10" s="20">
        <v>1</v>
      </c>
      <c r="E10" s="20" t="s">
        <v>24</v>
      </c>
      <c r="F10" s="20" t="s">
        <v>24</v>
      </c>
      <c r="G10" s="20" t="s">
        <v>24</v>
      </c>
      <c r="H10" s="20" t="s">
        <v>24</v>
      </c>
      <c r="I10" s="20" t="s">
        <v>49</v>
      </c>
      <c r="J10" s="20" t="s">
        <v>24</v>
      </c>
      <c r="K10" s="20" t="s">
        <v>26</v>
      </c>
      <c r="L10" s="83" t="s">
        <v>579</v>
      </c>
      <c r="M10" s="24">
        <v>0.96360000000000001</v>
      </c>
      <c r="N10" s="19" t="s">
        <v>128</v>
      </c>
      <c r="O10" s="19" t="s">
        <v>129</v>
      </c>
      <c r="P10" s="22" t="s">
        <v>30</v>
      </c>
      <c r="Q10" s="22" t="s">
        <v>31</v>
      </c>
      <c r="R10" s="20" t="s">
        <v>130</v>
      </c>
      <c r="S10" s="20" t="s">
        <v>131</v>
      </c>
      <c r="T10" s="20" t="s">
        <v>144</v>
      </c>
      <c r="U10" s="35"/>
      <c r="V10" s="61" t="s">
        <v>34</v>
      </c>
      <c r="W10" s="61"/>
      <c r="X10" s="61" t="s">
        <v>34</v>
      </c>
      <c r="Y10" s="61"/>
    </row>
    <row r="11" spans="1:25" s="75" customFormat="1" ht="16.5" x14ac:dyDescent="0.45">
      <c r="A11" s="32">
        <v>10</v>
      </c>
      <c r="B11" s="68" t="s">
        <v>149</v>
      </c>
      <c r="C11" s="66" t="s">
        <v>150</v>
      </c>
      <c r="D11" s="32">
        <v>1</v>
      </c>
      <c r="E11" s="32" t="s">
        <v>24</v>
      </c>
      <c r="F11" s="32" t="s">
        <v>24</v>
      </c>
      <c r="G11" s="32" t="s">
        <v>24</v>
      </c>
      <c r="H11" s="32" t="s">
        <v>24</v>
      </c>
      <c r="I11" s="32" t="s">
        <v>49</v>
      </c>
      <c r="J11" s="32" t="s">
        <v>24</v>
      </c>
      <c r="K11" s="32" t="s">
        <v>26</v>
      </c>
      <c r="L11" s="84" t="s">
        <v>579</v>
      </c>
      <c r="M11" s="33">
        <v>0.96360000000000001</v>
      </c>
      <c r="N11" s="28" t="s">
        <v>128</v>
      </c>
      <c r="O11" s="28" t="s">
        <v>129</v>
      </c>
      <c r="P11" s="31" t="s">
        <v>30</v>
      </c>
      <c r="Q11" s="31" t="s">
        <v>31</v>
      </c>
      <c r="R11" s="32" t="s">
        <v>130</v>
      </c>
      <c r="S11" s="32" t="s">
        <v>131</v>
      </c>
      <c r="T11" s="32" t="s">
        <v>144</v>
      </c>
      <c r="U11" s="38"/>
      <c r="V11" s="62" t="s">
        <v>34</v>
      </c>
      <c r="W11" s="62"/>
      <c r="X11" s="62" t="s">
        <v>34</v>
      </c>
      <c r="Y11" s="62"/>
    </row>
    <row r="12" spans="1:25" s="75" customFormat="1" ht="16.5" x14ac:dyDescent="0.45">
      <c r="A12" s="20">
        <v>11</v>
      </c>
      <c r="B12" s="67" t="s">
        <v>151</v>
      </c>
      <c r="C12" s="65" t="s">
        <v>152</v>
      </c>
      <c r="D12" s="20">
        <v>1</v>
      </c>
      <c r="E12" s="20" t="s">
        <v>24</v>
      </c>
      <c r="F12" s="20" t="s">
        <v>24</v>
      </c>
      <c r="G12" s="20" t="s">
        <v>24</v>
      </c>
      <c r="H12" s="20" t="s">
        <v>24</v>
      </c>
      <c r="I12" s="20" t="s">
        <v>49</v>
      </c>
      <c r="J12" s="20" t="s">
        <v>24</v>
      </c>
      <c r="K12" s="20" t="s">
        <v>26</v>
      </c>
      <c r="L12" s="83" t="s">
        <v>579</v>
      </c>
      <c r="M12" s="24">
        <v>0.96140000000000003</v>
      </c>
      <c r="N12" s="19" t="s">
        <v>153</v>
      </c>
      <c r="O12" s="19" t="s">
        <v>154</v>
      </c>
      <c r="P12" s="22" t="s">
        <v>30</v>
      </c>
      <c r="Q12" s="22" t="s">
        <v>31</v>
      </c>
      <c r="R12" s="20" t="s">
        <v>130</v>
      </c>
      <c r="S12" s="20" t="s">
        <v>131</v>
      </c>
      <c r="T12" s="20" t="s">
        <v>144</v>
      </c>
      <c r="U12" s="103" t="s">
        <v>56</v>
      </c>
      <c r="V12" s="61" t="s">
        <v>34</v>
      </c>
      <c r="W12" s="61"/>
      <c r="X12" s="61" t="s">
        <v>34</v>
      </c>
      <c r="Y12" s="61"/>
    </row>
    <row r="13" spans="1:25" s="75" customFormat="1" ht="16.5" x14ac:dyDescent="0.45">
      <c r="A13" s="32">
        <v>12</v>
      </c>
      <c r="B13" s="68" t="s">
        <v>155</v>
      </c>
      <c r="C13" s="66" t="s">
        <v>156</v>
      </c>
      <c r="D13" s="32">
        <v>1</v>
      </c>
      <c r="E13" s="32" t="s">
        <v>24</v>
      </c>
      <c r="F13" s="32" t="s">
        <v>24</v>
      </c>
      <c r="G13" s="32" t="s">
        <v>24</v>
      </c>
      <c r="H13" s="32" t="s">
        <v>24</v>
      </c>
      <c r="I13" s="32" t="s">
        <v>49</v>
      </c>
      <c r="J13" s="32" t="s">
        <v>24</v>
      </c>
      <c r="K13" s="32" t="s">
        <v>26</v>
      </c>
      <c r="L13" s="84" t="s">
        <v>579</v>
      </c>
      <c r="M13" s="33">
        <v>0.96140000000000003</v>
      </c>
      <c r="N13" s="28" t="s">
        <v>153</v>
      </c>
      <c r="O13" s="28" t="s">
        <v>154</v>
      </c>
      <c r="P13" s="31" t="s">
        <v>30</v>
      </c>
      <c r="Q13" s="31" t="s">
        <v>31</v>
      </c>
      <c r="R13" s="32" t="s">
        <v>130</v>
      </c>
      <c r="S13" s="32" t="s">
        <v>131</v>
      </c>
      <c r="T13" s="32" t="s">
        <v>144</v>
      </c>
      <c r="U13" s="104"/>
      <c r="V13" s="62" t="s">
        <v>34</v>
      </c>
      <c r="W13" s="62"/>
      <c r="X13" s="62" t="s">
        <v>34</v>
      </c>
      <c r="Y13" s="62"/>
    </row>
    <row r="14" spans="1:25" s="75" customFormat="1" ht="16.5" x14ac:dyDescent="0.45">
      <c r="A14" s="20">
        <v>13</v>
      </c>
      <c r="B14" s="67" t="s">
        <v>157</v>
      </c>
      <c r="C14" s="65" t="s">
        <v>158</v>
      </c>
      <c r="D14" s="20">
        <v>1</v>
      </c>
      <c r="E14" s="20" t="s">
        <v>24</v>
      </c>
      <c r="F14" s="20" t="s">
        <v>24</v>
      </c>
      <c r="G14" s="20" t="s">
        <v>24</v>
      </c>
      <c r="H14" s="20" t="s">
        <v>24</v>
      </c>
      <c r="I14" s="20" t="s">
        <v>49</v>
      </c>
      <c r="J14" s="20" t="s">
        <v>24</v>
      </c>
      <c r="K14" s="20" t="s">
        <v>26</v>
      </c>
      <c r="L14" s="83" t="s">
        <v>579</v>
      </c>
      <c r="M14" s="24">
        <v>0.96140000000000003</v>
      </c>
      <c r="N14" s="19" t="s">
        <v>153</v>
      </c>
      <c r="O14" s="19" t="s">
        <v>154</v>
      </c>
      <c r="P14" s="22" t="s">
        <v>30</v>
      </c>
      <c r="Q14" s="22" t="s">
        <v>31</v>
      </c>
      <c r="R14" s="20" t="s">
        <v>130</v>
      </c>
      <c r="S14" s="20" t="s">
        <v>131</v>
      </c>
      <c r="T14" s="20" t="s">
        <v>144</v>
      </c>
      <c r="U14" s="105"/>
      <c r="V14" s="61" t="s">
        <v>34</v>
      </c>
      <c r="W14" s="61"/>
      <c r="X14" s="61" t="s">
        <v>34</v>
      </c>
      <c r="Y14" s="61"/>
    </row>
    <row r="15" spans="1:25" s="75" customFormat="1" ht="16.5" x14ac:dyDescent="0.45">
      <c r="A15" s="32">
        <v>14</v>
      </c>
      <c r="B15" s="68" t="s">
        <v>159</v>
      </c>
      <c r="C15" s="69" t="s">
        <v>160</v>
      </c>
      <c r="D15" s="32" t="s">
        <v>63</v>
      </c>
      <c r="E15" s="32">
        <v>4</v>
      </c>
      <c r="F15" s="32" t="s">
        <v>64</v>
      </c>
      <c r="G15" s="32" t="s">
        <v>65</v>
      </c>
      <c r="H15" s="32" t="s">
        <v>24</v>
      </c>
      <c r="I15" s="32" t="s">
        <v>66</v>
      </c>
      <c r="J15" s="32" t="s">
        <v>67</v>
      </c>
      <c r="K15" s="32" t="s">
        <v>26</v>
      </c>
      <c r="L15" s="84" t="s">
        <v>579</v>
      </c>
      <c r="M15" s="33">
        <v>0.97260000000000002</v>
      </c>
      <c r="N15" s="28" t="s">
        <v>161</v>
      </c>
      <c r="O15" s="28" t="s">
        <v>162</v>
      </c>
      <c r="P15" s="31" t="s">
        <v>163</v>
      </c>
      <c r="Q15" s="31" t="s">
        <v>70</v>
      </c>
      <c r="R15" s="32" t="s">
        <v>130</v>
      </c>
      <c r="S15" s="32" t="s">
        <v>131</v>
      </c>
      <c r="T15" s="32" t="s">
        <v>144</v>
      </c>
      <c r="U15" s="103" t="s">
        <v>72</v>
      </c>
      <c r="V15" s="62" t="s">
        <v>34</v>
      </c>
      <c r="W15" s="62"/>
      <c r="X15" s="62" t="s">
        <v>34</v>
      </c>
      <c r="Y15" s="62"/>
    </row>
    <row r="16" spans="1:25" s="75" customFormat="1" ht="16.5" x14ac:dyDescent="0.45">
      <c r="A16" s="20">
        <v>15</v>
      </c>
      <c r="B16" s="67" t="s">
        <v>164</v>
      </c>
      <c r="C16" s="70" t="s">
        <v>165</v>
      </c>
      <c r="D16" s="20" t="s">
        <v>63</v>
      </c>
      <c r="E16" s="20">
        <v>4</v>
      </c>
      <c r="F16" s="20" t="s">
        <v>64</v>
      </c>
      <c r="G16" s="20" t="s">
        <v>65</v>
      </c>
      <c r="H16" s="20" t="s">
        <v>24</v>
      </c>
      <c r="I16" s="20" t="s">
        <v>66</v>
      </c>
      <c r="J16" s="20" t="s">
        <v>67</v>
      </c>
      <c r="K16" s="20" t="s">
        <v>26</v>
      </c>
      <c r="L16" s="83" t="s">
        <v>579</v>
      </c>
      <c r="M16" s="24">
        <v>0.97260000000000002</v>
      </c>
      <c r="N16" s="19" t="s">
        <v>161</v>
      </c>
      <c r="O16" s="19" t="s">
        <v>162</v>
      </c>
      <c r="P16" s="22" t="s">
        <v>163</v>
      </c>
      <c r="Q16" s="22" t="s">
        <v>70</v>
      </c>
      <c r="R16" s="20" t="s">
        <v>130</v>
      </c>
      <c r="S16" s="20" t="s">
        <v>131</v>
      </c>
      <c r="T16" s="20" t="s">
        <v>144</v>
      </c>
      <c r="U16" s="104"/>
      <c r="V16" s="61" t="s">
        <v>34</v>
      </c>
      <c r="W16" s="61"/>
      <c r="X16" s="61" t="s">
        <v>34</v>
      </c>
      <c r="Y16" s="61"/>
    </row>
    <row r="17" spans="1:25" s="75" customFormat="1" ht="16.5" x14ac:dyDescent="0.45">
      <c r="A17" s="32">
        <v>16</v>
      </c>
      <c r="B17" s="68" t="s">
        <v>166</v>
      </c>
      <c r="C17" s="69" t="s">
        <v>167</v>
      </c>
      <c r="D17" s="32" t="s">
        <v>63</v>
      </c>
      <c r="E17" s="32">
        <v>4</v>
      </c>
      <c r="F17" s="32" t="s">
        <v>64</v>
      </c>
      <c r="G17" s="32" t="s">
        <v>65</v>
      </c>
      <c r="H17" s="32" t="s">
        <v>24</v>
      </c>
      <c r="I17" s="32" t="s">
        <v>66</v>
      </c>
      <c r="J17" s="32" t="s">
        <v>67</v>
      </c>
      <c r="K17" s="32" t="s">
        <v>26</v>
      </c>
      <c r="L17" s="84" t="s">
        <v>579</v>
      </c>
      <c r="M17" s="33">
        <v>0.97260000000000002</v>
      </c>
      <c r="N17" s="28" t="s">
        <v>161</v>
      </c>
      <c r="O17" s="28" t="s">
        <v>162</v>
      </c>
      <c r="P17" s="31" t="s">
        <v>163</v>
      </c>
      <c r="Q17" s="31" t="s">
        <v>70</v>
      </c>
      <c r="R17" s="32" t="s">
        <v>130</v>
      </c>
      <c r="S17" s="32" t="s">
        <v>131</v>
      </c>
      <c r="T17" s="32" t="s">
        <v>144</v>
      </c>
      <c r="U17" s="104"/>
      <c r="V17" s="62" t="s">
        <v>34</v>
      </c>
      <c r="W17" s="62"/>
      <c r="X17" s="62" t="s">
        <v>34</v>
      </c>
      <c r="Y17" s="62"/>
    </row>
    <row r="18" spans="1:25" s="75" customFormat="1" ht="16.5" x14ac:dyDescent="0.45">
      <c r="A18" s="20">
        <v>17</v>
      </c>
      <c r="B18" s="67" t="s">
        <v>168</v>
      </c>
      <c r="C18" s="70" t="s">
        <v>169</v>
      </c>
      <c r="D18" s="20" t="s">
        <v>63</v>
      </c>
      <c r="E18" s="20">
        <v>4</v>
      </c>
      <c r="F18" s="20" t="s">
        <v>64</v>
      </c>
      <c r="G18" s="20" t="s">
        <v>65</v>
      </c>
      <c r="H18" s="20" t="s">
        <v>24</v>
      </c>
      <c r="I18" s="20" t="s">
        <v>66</v>
      </c>
      <c r="J18" s="20" t="s">
        <v>67</v>
      </c>
      <c r="K18" s="20" t="s">
        <v>26</v>
      </c>
      <c r="L18" s="83" t="s">
        <v>579</v>
      </c>
      <c r="M18" s="24">
        <v>0.97260000000000002</v>
      </c>
      <c r="N18" s="19" t="s">
        <v>161</v>
      </c>
      <c r="O18" s="19" t="s">
        <v>162</v>
      </c>
      <c r="P18" s="22" t="s">
        <v>163</v>
      </c>
      <c r="Q18" s="22" t="s">
        <v>70</v>
      </c>
      <c r="R18" s="20" t="s">
        <v>130</v>
      </c>
      <c r="S18" s="20" t="s">
        <v>131</v>
      </c>
      <c r="T18" s="20" t="s">
        <v>144</v>
      </c>
      <c r="U18" s="104"/>
      <c r="V18" s="61" t="s">
        <v>34</v>
      </c>
      <c r="W18" s="61"/>
      <c r="X18" s="61" t="s">
        <v>34</v>
      </c>
      <c r="Y18" s="61"/>
    </row>
    <row r="19" spans="1:25" s="75" customFormat="1" ht="16.5" x14ac:dyDescent="0.45">
      <c r="A19" s="32">
        <v>18</v>
      </c>
      <c r="B19" s="68" t="s">
        <v>170</v>
      </c>
      <c r="C19" s="69" t="s">
        <v>171</v>
      </c>
      <c r="D19" s="32" t="s">
        <v>63</v>
      </c>
      <c r="E19" s="32">
        <v>4</v>
      </c>
      <c r="F19" s="32" t="s">
        <v>64</v>
      </c>
      <c r="G19" s="32" t="s">
        <v>65</v>
      </c>
      <c r="H19" s="32" t="s">
        <v>24</v>
      </c>
      <c r="I19" s="32" t="s">
        <v>66</v>
      </c>
      <c r="J19" s="32" t="s">
        <v>67</v>
      </c>
      <c r="K19" s="32" t="s">
        <v>26</v>
      </c>
      <c r="L19" s="84" t="s">
        <v>579</v>
      </c>
      <c r="M19" s="33">
        <v>0.97260000000000002</v>
      </c>
      <c r="N19" s="28" t="s">
        <v>161</v>
      </c>
      <c r="O19" s="28" t="s">
        <v>162</v>
      </c>
      <c r="P19" s="31" t="s">
        <v>163</v>
      </c>
      <c r="Q19" s="31" t="s">
        <v>70</v>
      </c>
      <c r="R19" s="32" t="s">
        <v>130</v>
      </c>
      <c r="S19" s="32" t="s">
        <v>131</v>
      </c>
      <c r="T19" s="32" t="s">
        <v>144</v>
      </c>
      <c r="U19" s="104"/>
      <c r="V19" s="62" t="s">
        <v>34</v>
      </c>
      <c r="W19" s="62"/>
      <c r="X19" s="62" t="s">
        <v>34</v>
      </c>
      <c r="Y19" s="62"/>
    </row>
    <row r="20" spans="1:25" s="75" customFormat="1" ht="16.5" x14ac:dyDescent="0.45">
      <c r="A20" s="20">
        <v>19</v>
      </c>
      <c r="B20" s="67" t="s">
        <v>172</v>
      </c>
      <c r="C20" s="70" t="s">
        <v>173</v>
      </c>
      <c r="D20" s="20" t="s">
        <v>63</v>
      </c>
      <c r="E20" s="20">
        <v>4</v>
      </c>
      <c r="F20" s="20" t="s">
        <v>64</v>
      </c>
      <c r="G20" s="20" t="s">
        <v>65</v>
      </c>
      <c r="H20" s="20" t="s">
        <v>174</v>
      </c>
      <c r="I20" s="20" t="s">
        <v>66</v>
      </c>
      <c r="J20" s="20" t="s">
        <v>67</v>
      </c>
      <c r="K20" s="20" t="s">
        <v>26</v>
      </c>
      <c r="L20" s="20" t="s">
        <v>192</v>
      </c>
      <c r="M20" s="24">
        <v>0.97260000000000002</v>
      </c>
      <c r="N20" s="19" t="s">
        <v>161</v>
      </c>
      <c r="O20" s="19" t="s">
        <v>162</v>
      </c>
      <c r="P20" s="22" t="s">
        <v>163</v>
      </c>
      <c r="Q20" s="22" t="s">
        <v>70</v>
      </c>
      <c r="R20" s="20" t="s">
        <v>130</v>
      </c>
      <c r="S20" s="20" t="s">
        <v>131</v>
      </c>
      <c r="T20" s="20" t="s">
        <v>144</v>
      </c>
      <c r="U20" s="104"/>
      <c r="V20" s="61" t="s">
        <v>34</v>
      </c>
      <c r="W20" s="61"/>
      <c r="X20" s="61" t="s">
        <v>34</v>
      </c>
      <c r="Y20" s="61"/>
    </row>
    <row r="21" spans="1:25" s="75" customFormat="1" ht="16.5" x14ac:dyDescent="0.45">
      <c r="A21" s="32">
        <v>20</v>
      </c>
      <c r="B21" s="68" t="s">
        <v>175</v>
      </c>
      <c r="C21" s="69" t="s">
        <v>176</v>
      </c>
      <c r="D21" s="32" t="s">
        <v>63</v>
      </c>
      <c r="E21" s="32">
        <v>4</v>
      </c>
      <c r="F21" s="32" t="s">
        <v>64</v>
      </c>
      <c r="G21" s="32" t="s">
        <v>65</v>
      </c>
      <c r="H21" s="32" t="s">
        <v>174</v>
      </c>
      <c r="I21" s="32" t="s">
        <v>66</v>
      </c>
      <c r="J21" s="32" t="s">
        <v>67</v>
      </c>
      <c r="K21" s="32" t="s">
        <v>26</v>
      </c>
      <c r="L21" s="32" t="s">
        <v>192</v>
      </c>
      <c r="M21" s="33">
        <v>0.97260000000000002</v>
      </c>
      <c r="N21" s="28" t="s">
        <v>161</v>
      </c>
      <c r="O21" s="28" t="s">
        <v>162</v>
      </c>
      <c r="P21" s="31" t="s">
        <v>163</v>
      </c>
      <c r="Q21" s="31" t="s">
        <v>70</v>
      </c>
      <c r="R21" s="32" t="s">
        <v>130</v>
      </c>
      <c r="S21" s="32" t="s">
        <v>131</v>
      </c>
      <c r="T21" s="32" t="s">
        <v>177</v>
      </c>
      <c r="U21" s="104"/>
      <c r="V21" s="62" t="s">
        <v>34</v>
      </c>
      <c r="W21" s="62"/>
      <c r="X21" s="62" t="s">
        <v>34</v>
      </c>
      <c r="Y21" s="62"/>
    </row>
    <row r="22" spans="1:25" s="75" customFormat="1" ht="16.5" x14ac:dyDescent="0.45">
      <c r="A22" s="20">
        <v>21</v>
      </c>
      <c r="B22" s="67" t="s">
        <v>178</v>
      </c>
      <c r="C22" s="70" t="s">
        <v>179</v>
      </c>
      <c r="D22" s="20" t="s">
        <v>63</v>
      </c>
      <c r="E22" s="20">
        <v>4</v>
      </c>
      <c r="F22" s="20" t="s">
        <v>64</v>
      </c>
      <c r="G22" s="20" t="s">
        <v>65</v>
      </c>
      <c r="H22" s="20" t="s">
        <v>174</v>
      </c>
      <c r="I22" s="20" t="s">
        <v>66</v>
      </c>
      <c r="J22" s="20" t="s">
        <v>67</v>
      </c>
      <c r="K22" s="20" t="s">
        <v>26</v>
      </c>
      <c r="L22" s="20" t="s">
        <v>192</v>
      </c>
      <c r="M22" s="24">
        <v>0.97260000000000002</v>
      </c>
      <c r="N22" s="19" t="s">
        <v>161</v>
      </c>
      <c r="O22" s="19" t="s">
        <v>162</v>
      </c>
      <c r="P22" s="22" t="s">
        <v>163</v>
      </c>
      <c r="Q22" s="22" t="s">
        <v>70</v>
      </c>
      <c r="R22" s="20" t="s">
        <v>130</v>
      </c>
      <c r="S22" s="20" t="s">
        <v>131</v>
      </c>
      <c r="T22" s="20" t="s">
        <v>177</v>
      </c>
      <c r="U22" s="104"/>
      <c r="V22" s="61" t="s">
        <v>34</v>
      </c>
      <c r="W22" s="61"/>
      <c r="X22" s="61" t="s">
        <v>34</v>
      </c>
      <c r="Y22" s="61"/>
    </row>
    <row r="23" spans="1:25" s="75" customFormat="1" ht="16.5" x14ac:dyDescent="0.45">
      <c r="A23" s="32">
        <v>22</v>
      </c>
      <c r="B23" s="68" t="s">
        <v>180</v>
      </c>
      <c r="C23" s="69" t="s">
        <v>181</v>
      </c>
      <c r="D23" s="32" t="s">
        <v>63</v>
      </c>
      <c r="E23" s="32">
        <v>4</v>
      </c>
      <c r="F23" s="32" t="s">
        <v>64</v>
      </c>
      <c r="G23" s="32" t="s">
        <v>65</v>
      </c>
      <c r="H23" s="32" t="s">
        <v>174</v>
      </c>
      <c r="I23" s="32" t="s">
        <v>66</v>
      </c>
      <c r="J23" s="32" t="s">
        <v>67</v>
      </c>
      <c r="K23" s="32" t="s">
        <v>26</v>
      </c>
      <c r="L23" s="32" t="s">
        <v>192</v>
      </c>
      <c r="M23" s="33">
        <v>0.97250000000000003</v>
      </c>
      <c r="N23" s="28" t="s">
        <v>193</v>
      </c>
      <c r="O23" s="28" t="s">
        <v>194</v>
      </c>
      <c r="P23" s="31" t="s">
        <v>163</v>
      </c>
      <c r="Q23" s="31" t="s">
        <v>70</v>
      </c>
      <c r="R23" s="32" t="s">
        <v>130</v>
      </c>
      <c r="S23" s="32" t="s">
        <v>131</v>
      </c>
      <c r="T23" s="32" t="s">
        <v>177</v>
      </c>
      <c r="U23" s="105"/>
      <c r="V23" s="62" t="s">
        <v>34</v>
      </c>
      <c r="W23" s="62"/>
      <c r="X23" s="62" t="s">
        <v>34</v>
      </c>
      <c r="Y23" s="62"/>
    </row>
    <row r="24" spans="1:25" s="75" customFormat="1" ht="16.5" x14ac:dyDescent="0.45">
      <c r="A24" s="20">
        <v>23</v>
      </c>
      <c r="B24" s="67" t="s">
        <v>182</v>
      </c>
      <c r="C24" s="70" t="s">
        <v>183</v>
      </c>
      <c r="D24" s="20" t="s">
        <v>63</v>
      </c>
      <c r="E24" s="20">
        <v>4</v>
      </c>
      <c r="F24" s="20" t="s">
        <v>64</v>
      </c>
      <c r="G24" s="20" t="s">
        <v>65</v>
      </c>
      <c r="H24" s="20" t="s">
        <v>174</v>
      </c>
      <c r="I24" s="20" t="s">
        <v>66</v>
      </c>
      <c r="J24" s="20" t="s">
        <v>67</v>
      </c>
      <c r="K24" s="20" t="s">
        <v>26</v>
      </c>
      <c r="L24" s="20" t="s">
        <v>192</v>
      </c>
      <c r="M24" s="24">
        <v>0.97250000000000003</v>
      </c>
      <c r="N24" s="19" t="s">
        <v>193</v>
      </c>
      <c r="O24" s="19" t="s">
        <v>194</v>
      </c>
      <c r="P24" s="22" t="s">
        <v>163</v>
      </c>
      <c r="Q24" s="22" t="s">
        <v>70</v>
      </c>
      <c r="R24" s="20" t="s">
        <v>130</v>
      </c>
      <c r="S24" s="20" t="s">
        <v>131</v>
      </c>
      <c r="T24" s="20" t="s">
        <v>177</v>
      </c>
      <c r="U24" s="79"/>
      <c r="V24" s="61" t="s">
        <v>34</v>
      </c>
      <c r="W24" s="61"/>
      <c r="X24" s="61"/>
      <c r="Y24" s="61"/>
    </row>
    <row r="25" spans="1:25" s="75" customFormat="1" ht="16.5" x14ac:dyDescent="0.45">
      <c r="A25" s="32">
        <v>24</v>
      </c>
      <c r="B25" s="68" t="s">
        <v>184</v>
      </c>
      <c r="C25" s="69" t="s">
        <v>185</v>
      </c>
      <c r="D25" s="32" t="s">
        <v>63</v>
      </c>
      <c r="E25" s="32">
        <v>4</v>
      </c>
      <c r="F25" s="32" t="s">
        <v>64</v>
      </c>
      <c r="G25" s="32" t="s">
        <v>65</v>
      </c>
      <c r="H25" s="32" t="s">
        <v>174</v>
      </c>
      <c r="I25" s="32" t="s">
        <v>66</v>
      </c>
      <c r="J25" s="32" t="s">
        <v>67</v>
      </c>
      <c r="K25" s="32" t="s">
        <v>26</v>
      </c>
      <c r="L25" s="32" t="s">
        <v>192</v>
      </c>
      <c r="M25" s="33">
        <v>0.97250000000000003</v>
      </c>
      <c r="N25" s="28" t="s">
        <v>193</v>
      </c>
      <c r="O25" s="28" t="s">
        <v>194</v>
      </c>
      <c r="P25" s="31" t="s">
        <v>163</v>
      </c>
      <c r="Q25" s="31" t="s">
        <v>70</v>
      </c>
      <c r="R25" s="32" t="s">
        <v>130</v>
      </c>
      <c r="S25" s="32" t="s">
        <v>131</v>
      </c>
      <c r="T25" s="32" t="s">
        <v>177</v>
      </c>
      <c r="U25" s="78"/>
      <c r="V25" s="62" t="s">
        <v>34</v>
      </c>
      <c r="W25" s="62"/>
      <c r="X25" s="62"/>
      <c r="Y25" s="62"/>
    </row>
    <row r="26" spans="1:25" s="75" customFormat="1" ht="16.5" x14ac:dyDescent="0.45">
      <c r="A26" s="20">
        <v>25</v>
      </c>
      <c r="B26" s="67" t="s">
        <v>186</v>
      </c>
      <c r="C26" s="70" t="s">
        <v>187</v>
      </c>
      <c r="D26" s="20" t="s">
        <v>63</v>
      </c>
      <c r="E26" s="20">
        <v>4</v>
      </c>
      <c r="F26" s="20" t="s">
        <v>64</v>
      </c>
      <c r="G26" s="20" t="s">
        <v>65</v>
      </c>
      <c r="H26" s="20" t="s">
        <v>174</v>
      </c>
      <c r="I26" s="20" t="s">
        <v>66</v>
      </c>
      <c r="J26" s="20" t="s">
        <v>67</v>
      </c>
      <c r="K26" s="20" t="s">
        <v>26</v>
      </c>
      <c r="L26" s="20" t="s">
        <v>192</v>
      </c>
      <c r="M26" s="24">
        <v>0.97250000000000003</v>
      </c>
      <c r="N26" s="19" t="s">
        <v>193</v>
      </c>
      <c r="O26" s="19" t="s">
        <v>194</v>
      </c>
      <c r="P26" s="22" t="s">
        <v>163</v>
      </c>
      <c r="Q26" s="22" t="s">
        <v>70</v>
      </c>
      <c r="R26" s="20" t="s">
        <v>130</v>
      </c>
      <c r="S26" s="20" t="s">
        <v>131</v>
      </c>
      <c r="T26" s="20" t="s">
        <v>177</v>
      </c>
      <c r="U26" s="79"/>
      <c r="V26" s="61" t="s">
        <v>34</v>
      </c>
      <c r="W26" s="61"/>
      <c r="X26" s="61"/>
      <c r="Y26" s="61"/>
    </row>
    <row r="27" spans="1:25" ht="16.5" x14ac:dyDescent="0.3">
      <c r="A27" s="32">
        <v>34</v>
      </c>
      <c r="B27" s="32" t="s">
        <v>188</v>
      </c>
      <c r="C27" s="71" t="s">
        <v>189</v>
      </c>
      <c r="D27" s="32">
        <v>1</v>
      </c>
      <c r="E27" s="32">
        <v>4</v>
      </c>
      <c r="F27" s="32" t="s">
        <v>64</v>
      </c>
      <c r="G27" s="32" t="s">
        <v>190</v>
      </c>
      <c r="H27" s="32" t="s">
        <v>190</v>
      </c>
      <c r="I27" s="32" t="s">
        <v>191</v>
      </c>
      <c r="J27" s="80" t="s">
        <v>67</v>
      </c>
      <c r="K27" s="32" t="s">
        <v>26</v>
      </c>
      <c r="L27" s="32" t="s">
        <v>192</v>
      </c>
      <c r="M27" s="33">
        <v>0.97250000000000003</v>
      </c>
      <c r="N27" s="28" t="s">
        <v>193</v>
      </c>
      <c r="O27" s="28" t="s">
        <v>194</v>
      </c>
      <c r="P27" s="28" t="s">
        <v>195</v>
      </c>
      <c r="Q27" s="32" t="s">
        <v>196</v>
      </c>
      <c r="R27" s="32" t="s">
        <v>130</v>
      </c>
      <c r="S27" s="32" t="s">
        <v>197</v>
      </c>
      <c r="T27" s="32" t="s">
        <v>198</v>
      </c>
      <c r="U27" s="104"/>
      <c r="V27" s="62" t="s">
        <v>34</v>
      </c>
      <c r="W27" s="62" t="s">
        <v>34</v>
      </c>
      <c r="X27" s="62" t="s">
        <v>34</v>
      </c>
      <c r="Y27" s="62"/>
    </row>
    <row r="28" spans="1:25" ht="16.5" x14ac:dyDescent="0.3">
      <c r="A28" s="20">
        <v>35</v>
      </c>
      <c r="B28" s="20" t="s">
        <v>199</v>
      </c>
      <c r="C28" s="72" t="s">
        <v>200</v>
      </c>
      <c r="D28" s="20">
        <v>1</v>
      </c>
      <c r="E28" s="20">
        <v>4</v>
      </c>
      <c r="F28" s="20" t="s">
        <v>64</v>
      </c>
      <c r="G28" s="20" t="s">
        <v>190</v>
      </c>
      <c r="H28" s="20" t="s">
        <v>190</v>
      </c>
      <c r="I28" s="20" t="s">
        <v>191</v>
      </c>
      <c r="J28" s="81" t="s">
        <v>67</v>
      </c>
      <c r="K28" s="20" t="s">
        <v>26</v>
      </c>
      <c r="L28" s="20" t="s">
        <v>192</v>
      </c>
      <c r="M28" s="24">
        <v>0.97250000000000003</v>
      </c>
      <c r="N28" s="19" t="s">
        <v>193</v>
      </c>
      <c r="O28" s="19" t="s">
        <v>194</v>
      </c>
      <c r="P28" s="19" t="s">
        <v>195</v>
      </c>
      <c r="Q28" s="20" t="s">
        <v>196</v>
      </c>
      <c r="R28" s="20" t="s">
        <v>130</v>
      </c>
      <c r="S28" s="20" t="s">
        <v>197</v>
      </c>
      <c r="T28" s="20" t="s">
        <v>198</v>
      </c>
      <c r="U28" s="104"/>
      <c r="V28" s="61" t="s">
        <v>34</v>
      </c>
      <c r="W28" s="61" t="s">
        <v>34</v>
      </c>
      <c r="X28" s="61" t="s">
        <v>34</v>
      </c>
      <c r="Y28" s="61"/>
    </row>
    <row r="29" spans="1:25" ht="16.5" x14ac:dyDescent="0.3">
      <c r="A29" s="32">
        <v>36</v>
      </c>
      <c r="B29" s="32" t="s">
        <v>201</v>
      </c>
      <c r="C29" s="71" t="s">
        <v>202</v>
      </c>
      <c r="D29" s="32">
        <v>1</v>
      </c>
      <c r="E29" s="32">
        <v>4</v>
      </c>
      <c r="F29" s="32" t="s">
        <v>64</v>
      </c>
      <c r="G29" s="32" t="s">
        <v>190</v>
      </c>
      <c r="H29" s="32" t="s">
        <v>190</v>
      </c>
      <c r="I29" s="32" t="s">
        <v>191</v>
      </c>
      <c r="J29" s="80" t="s">
        <v>67</v>
      </c>
      <c r="K29" s="32" t="s">
        <v>26</v>
      </c>
      <c r="L29" s="32" t="s">
        <v>192</v>
      </c>
      <c r="M29" s="33">
        <v>0.97250000000000003</v>
      </c>
      <c r="N29" s="28" t="s">
        <v>193</v>
      </c>
      <c r="O29" s="28" t="s">
        <v>194</v>
      </c>
      <c r="P29" s="28" t="s">
        <v>195</v>
      </c>
      <c r="Q29" s="32" t="s">
        <v>196</v>
      </c>
      <c r="R29" s="32" t="s">
        <v>130</v>
      </c>
      <c r="S29" s="32" t="s">
        <v>203</v>
      </c>
      <c r="T29" s="32" t="s">
        <v>198</v>
      </c>
      <c r="U29" s="104"/>
      <c r="V29" s="62" t="s">
        <v>34</v>
      </c>
      <c r="W29" s="62" t="s">
        <v>34</v>
      </c>
      <c r="X29" s="62" t="s">
        <v>34</v>
      </c>
      <c r="Y29" s="62"/>
    </row>
    <row r="30" spans="1:25" ht="16.5" x14ac:dyDescent="0.3">
      <c r="A30" s="20">
        <v>37</v>
      </c>
      <c r="B30" s="20" t="s">
        <v>204</v>
      </c>
      <c r="C30" s="72" t="s">
        <v>205</v>
      </c>
      <c r="D30" s="20">
        <v>1</v>
      </c>
      <c r="E30" s="20">
        <v>4</v>
      </c>
      <c r="F30" s="20" t="s">
        <v>64</v>
      </c>
      <c r="G30" s="20" t="s">
        <v>190</v>
      </c>
      <c r="H30" s="20" t="s">
        <v>190</v>
      </c>
      <c r="I30" s="20" t="s">
        <v>191</v>
      </c>
      <c r="J30" s="81" t="s">
        <v>67</v>
      </c>
      <c r="K30" s="20" t="s">
        <v>26</v>
      </c>
      <c r="L30" s="20" t="s">
        <v>192</v>
      </c>
      <c r="M30" s="24">
        <v>0.97250000000000003</v>
      </c>
      <c r="N30" s="19" t="s">
        <v>193</v>
      </c>
      <c r="O30" s="19" t="s">
        <v>194</v>
      </c>
      <c r="P30" s="19" t="s">
        <v>195</v>
      </c>
      <c r="Q30" s="20" t="s">
        <v>196</v>
      </c>
      <c r="R30" s="20" t="s">
        <v>130</v>
      </c>
      <c r="S30" s="20" t="s">
        <v>203</v>
      </c>
      <c r="T30" s="20" t="s">
        <v>198</v>
      </c>
      <c r="U30" s="104"/>
      <c r="V30" s="61" t="s">
        <v>34</v>
      </c>
      <c r="W30" s="61" t="s">
        <v>34</v>
      </c>
      <c r="X30" s="61" t="s">
        <v>34</v>
      </c>
      <c r="Y30" s="61"/>
    </row>
    <row r="31" spans="1:25" ht="16.5" x14ac:dyDescent="0.3">
      <c r="A31" s="32">
        <v>38</v>
      </c>
      <c r="B31" s="32" t="s">
        <v>206</v>
      </c>
      <c r="C31" s="71" t="s">
        <v>207</v>
      </c>
      <c r="D31" s="32">
        <v>1</v>
      </c>
      <c r="E31" s="32">
        <v>4</v>
      </c>
      <c r="F31" s="32" t="s">
        <v>64</v>
      </c>
      <c r="G31" s="32" t="s">
        <v>190</v>
      </c>
      <c r="H31" s="32" t="s">
        <v>190</v>
      </c>
      <c r="I31" s="32" t="s">
        <v>191</v>
      </c>
      <c r="J31" s="80" t="s">
        <v>67</v>
      </c>
      <c r="K31" s="32" t="s">
        <v>26</v>
      </c>
      <c r="L31" s="32" t="s">
        <v>192</v>
      </c>
      <c r="M31" s="33">
        <v>0.97250000000000003</v>
      </c>
      <c r="N31" s="28" t="s">
        <v>193</v>
      </c>
      <c r="O31" s="28" t="s">
        <v>194</v>
      </c>
      <c r="P31" s="28" t="s">
        <v>195</v>
      </c>
      <c r="Q31" s="32" t="s">
        <v>196</v>
      </c>
      <c r="R31" s="32" t="s">
        <v>130</v>
      </c>
      <c r="S31" s="32" t="s">
        <v>203</v>
      </c>
      <c r="T31" s="32" t="s">
        <v>198</v>
      </c>
      <c r="U31" s="104"/>
      <c r="V31" s="62" t="s">
        <v>34</v>
      </c>
      <c r="W31" s="62" t="s">
        <v>34</v>
      </c>
      <c r="X31" s="62" t="s">
        <v>34</v>
      </c>
      <c r="Y31" s="62" t="s">
        <v>34</v>
      </c>
    </row>
    <row r="32" spans="1:25" ht="16.5" x14ac:dyDescent="0.3">
      <c r="A32" s="20">
        <v>39</v>
      </c>
      <c r="B32" s="20" t="s">
        <v>208</v>
      </c>
      <c r="C32" s="72" t="s">
        <v>209</v>
      </c>
      <c r="D32" s="20">
        <v>1</v>
      </c>
      <c r="E32" s="20">
        <v>4</v>
      </c>
      <c r="F32" s="20" t="s">
        <v>64</v>
      </c>
      <c r="G32" s="20" t="s">
        <v>190</v>
      </c>
      <c r="H32" s="20" t="s">
        <v>190</v>
      </c>
      <c r="I32" s="20" t="s">
        <v>191</v>
      </c>
      <c r="J32" s="81" t="s">
        <v>67</v>
      </c>
      <c r="K32" s="20" t="s">
        <v>26</v>
      </c>
      <c r="L32" s="20" t="s">
        <v>192</v>
      </c>
      <c r="M32" s="24">
        <v>0.97250000000000003</v>
      </c>
      <c r="N32" s="19" t="s">
        <v>193</v>
      </c>
      <c r="O32" s="19" t="s">
        <v>194</v>
      </c>
      <c r="P32" s="20" t="s">
        <v>210</v>
      </c>
      <c r="Q32" s="20" t="s">
        <v>196</v>
      </c>
      <c r="R32" s="20" t="s">
        <v>130</v>
      </c>
      <c r="S32" s="20" t="s">
        <v>203</v>
      </c>
      <c r="T32" s="20" t="s">
        <v>198</v>
      </c>
      <c r="U32" s="105"/>
      <c r="V32" s="61" t="s">
        <v>34</v>
      </c>
      <c r="W32" s="61" t="s">
        <v>34</v>
      </c>
      <c r="X32" s="61" t="s">
        <v>34</v>
      </c>
      <c r="Y32" s="61"/>
    </row>
    <row r="33" spans="3:15" ht="16.5" x14ac:dyDescent="0.3">
      <c r="M33" s="34" t="s">
        <v>211</v>
      </c>
      <c r="N33" s="73" t="s">
        <v>212</v>
      </c>
      <c r="O33" s="74" t="s">
        <v>117</v>
      </c>
    </row>
    <row r="35" spans="3:15" x14ac:dyDescent="0.3">
      <c r="C35" s="12"/>
    </row>
    <row r="36" spans="3:15" x14ac:dyDescent="0.3">
      <c r="C36" s="12"/>
    </row>
  </sheetData>
  <mergeCells count="3">
    <mergeCell ref="U12:U14"/>
    <mergeCell ref="U15:U23"/>
    <mergeCell ref="U27:U32"/>
  </mergeCells>
  <phoneticPr fontId="16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5"/>
  <sheetViews>
    <sheetView zoomScale="80" zoomScaleNormal="80" workbookViewId="0">
      <selection activeCell="E37" sqref="E37"/>
    </sheetView>
  </sheetViews>
  <sheetFormatPr defaultColWidth="9" defaultRowHeight="14" x14ac:dyDescent="0.3"/>
  <cols>
    <col min="1" max="1" width="5.5" customWidth="1"/>
    <col min="2" max="2" width="24.33203125" customWidth="1"/>
    <col min="3" max="3" width="50.58203125" customWidth="1"/>
    <col min="4" max="4" width="22.33203125" customWidth="1"/>
    <col min="5" max="6" width="20.75" customWidth="1"/>
    <col min="7" max="9" width="14.75" customWidth="1"/>
    <col min="10" max="11" width="10.75" customWidth="1"/>
    <col min="12" max="15" width="14.75" customWidth="1"/>
    <col min="16" max="19" width="10.75" customWidth="1"/>
    <col min="20" max="20" width="24.5" customWidth="1"/>
    <col min="21" max="24" width="10.75" customWidth="1"/>
  </cols>
  <sheetData>
    <row r="1" spans="1:24" s="12" customFormat="1" ht="33" x14ac:dyDescent="0.3">
      <c r="A1" s="15" t="s">
        <v>0</v>
      </c>
      <c r="B1" s="15" t="s">
        <v>1</v>
      </c>
      <c r="C1" s="15" t="s">
        <v>2</v>
      </c>
      <c r="D1" s="15" t="s">
        <v>81</v>
      </c>
      <c r="E1" s="15" t="s">
        <v>82</v>
      </c>
      <c r="F1" s="15" t="s">
        <v>13</v>
      </c>
      <c r="G1" s="15" t="s">
        <v>213</v>
      </c>
      <c r="H1" s="15" t="s">
        <v>84</v>
      </c>
      <c r="I1" s="15" t="s">
        <v>85</v>
      </c>
      <c r="J1" s="15" t="s">
        <v>86</v>
      </c>
      <c r="K1" s="15" t="s">
        <v>87</v>
      </c>
      <c r="L1" s="15" t="s">
        <v>14</v>
      </c>
      <c r="M1" s="15" t="s">
        <v>88</v>
      </c>
      <c r="N1" s="15" t="s">
        <v>89</v>
      </c>
      <c r="O1" s="15" t="s">
        <v>90</v>
      </c>
      <c r="P1" s="15" t="s">
        <v>91</v>
      </c>
      <c r="Q1" s="15" t="s">
        <v>92</v>
      </c>
      <c r="R1" s="15" t="s">
        <v>93</v>
      </c>
      <c r="S1" s="15" t="s">
        <v>94</v>
      </c>
      <c r="T1" s="15" t="s">
        <v>95</v>
      </c>
      <c r="U1" s="15" t="s">
        <v>96</v>
      </c>
      <c r="V1" s="15" t="s">
        <v>97</v>
      </c>
      <c r="W1" s="15" t="s">
        <v>98</v>
      </c>
      <c r="X1" s="15" t="s">
        <v>99</v>
      </c>
    </row>
    <row r="2" spans="1:24" s="42" customFormat="1" ht="16.5" x14ac:dyDescent="0.3">
      <c r="A2" s="20">
        <v>1</v>
      </c>
      <c r="B2" s="20" t="s">
        <v>126</v>
      </c>
      <c r="C2" s="65" t="s">
        <v>127</v>
      </c>
      <c r="D2" s="17" t="s">
        <v>100</v>
      </c>
      <c r="E2" s="17" t="s">
        <v>214</v>
      </c>
      <c r="F2" s="19" t="s">
        <v>215</v>
      </c>
      <c r="G2" s="19" t="s">
        <v>33</v>
      </c>
      <c r="H2" s="19" t="s">
        <v>103</v>
      </c>
      <c r="I2" s="36">
        <v>1</v>
      </c>
      <c r="J2" s="24">
        <v>4.1999999999999997E-3</v>
      </c>
      <c r="K2" s="21">
        <v>49.99</v>
      </c>
      <c r="L2" s="19" t="s">
        <v>129</v>
      </c>
      <c r="M2" s="19" t="s">
        <v>104</v>
      </c>
      <c r="N2" s="23" t="s">
        <v>216</v>
      </c>
      <c r="O2" s="20" t="s">
        <v>217</v>
      </c>
      <c r="P2" s="20" t="s">
        <v>104</v>
      </c>
      <c r="Q2" s="20">
        <v>0</v>
      </c>
      <c r="R2" s="20">
        <v>0</v>
      </c>
      <c r="S2" s="20">
        <v>0</v>
      </c>
      <c r="T2" s="19" t="s">
        <v>218</v>
      </c>
      <c r="U2" s="37">
        <v>1</v>
      </c>
      <c r="V2" s="36">
        <v>3</v>
      </c>
      <c r="W2" s="20">
        <v>10</v>
      </c>
      <c r="X2" s="20" t="s">
        <v>33</v>
      </c>
    </row>
    <row r="3" spans="1:24" s="42" customFormat="1" ht="16.5" x14ac:dyDescent="0.3">
      <c r="A3" s="32">
        <v>2</v>
      </c>
      <c r="B3" s="32" t="s">
        <v>132</v>
      </c>
      <c r="C3" s="66" t="s">
        <v>133</v>
      </c>
      <c r="D3" s="26" t="s">
        <v>100</v>
      </c>
      <c r="E3" s="26" t="s">
        <v>214</v>
      </c>
      <c r="F3" s="28" t="s">
        <v>215</v>
      </c>
      <c r="G3" s="28" t="s">
        <v>33</v>
      </c>
      <c r="H3" s="28" t="s">
        <v>103</v>
      </c>
      <c r="I3" s="39">
        <v>1</v>
      </c>
      <c r="J3" s="33">
        <v>4.1999999999999997E-3</v>
      </c>
      <c r="K3" s="30">
        <v>49.99</v>
      </c>
      <c r="L3" s="28" t="s">
        <v>129</v>
      </c>
      <c r="M3" s="28" t="s">
        <v>104</v>
      </c>
      <c r="N3" s="29" t="s">
        <v>216</v>
      </c>
      <c r="O3" s="32" t="s">
        <v>217</v>
      </c>
      <c r="P3" s="32" t="s">
        <v>104</v>
      </c>
      <c r="Q3" s="32">
        <v>0</v>
      </c>
      <c r="R3" s="32">
        <v>0</v>
      </c>
      <c r="S3" s="32">
        <v>0</v>
      </c>
      <c r="T3" s="28" t="s">
        <v>218</v>
      </c>
      <c r="U3" s="41">
        <v>1</v>
      </c>
      <c r="V3" s="39">
        <v>3</v>
      </c>
      <c r="W3" s="32">
        <v>10</v>
      </c>
      <c r="X3" s="32" t="s">
        <v>33</v>
      </c>
    </row>
    <row r="4" spans="1:24" s="42" customFormat="1" ht="16.5" x14ac:dyDescent="0.3">
      <c r="A4" s="20">
        <v>3</v>
      </c>
      <c r="B4" s="20" t="s">
        <v>134</v>
      </c>
      <c r="C4" s="65" t="s">
        <v>135</v>
      </c>
      <c r="D4" s="17" t="s">
        <v>100</v>
      </c>
      <c r="E4" s="17" t="s">
        <v>214</v>
      </c>
      <c r="F4" s="19" t="s">
        <v>215</v>
      </c>
      <c r="G4" s="19" t="s">
        <v>33</v>
      </c>
      <c r="H4" s="19" t="s">
        <v>103</v>
      </c>
      <c r="I4" s="36">
        <v>1</v>
      </c>
      <c r="J4" s="24">
        <v>4.1999999999999997E-3</v>
      </c>
      <c r="K4" s="21">
        <v>49.99</v>
      </c>
      <c r="L4" s="19" t="s">
        <v>129</v>
      </c>
      <c r="M4" s="19" t="s">
        <v>104</v>
      </c>
      <c r="N4" s="23" t="s">
        <v>216</v>
      </c>
      <c r="O4" s="20" t="s">
        <v>217</v>
      </c>
      <c r="P4" s="20" t="s">
        <v>104</v>
      </c>
      <c r="Q4" s="20">
        <v>0</v>
      </c>
      <c r="R4" s="20">
        <v>0</v>
      </c>
      <c r="S4" s="20">
        <v>0</v>
      </c>
      <c r="T4" s="19" t="s">
        <v>218</v>
      </c>
      <c r="U4" s="37">
        <v>1</v>
      </c>
      <c r="V4" s="36">
        <v>3</v>
      </c>
      <c r="W4" s="20">
        <v>10</v>
      </c>
      <c r="X4" s="20" t="s">
        <v>33</v>
      </c>
    </row>
    <row r="5" spans="1:24" s="42" customFormat="1" ht="16.5" x14ac:dyDescent="0.3">
      <c r="A5" s="32">
        <v>4</v>
      </c>
      <c r="B5" s="32" t="s">
        <v>136</v>
      </c>
      <c r="C5" s="66" t="s">
        <v>137</v>
      </c>
      <c r="D5" s="26" t="s">
        <v>100</v>
      </c>
      <c r="E5" s="26" t="s">
        <v>214</v>
      </c>
      <c r="F5" s="28" t="s">
        <v>215</v>
      </c>
      <c r="G5" s="28" t="s">
        <v>33</v>
      </c>
      <c r="H5" s="28" t="s">
        <v>103</v>
      </c>
      <c r="I5" s="39">
        <v>1</v>
      </c>
      <c r="J5" s="33">
        <v>4.1999999999999997E-3</v>
      </c>
      <c r="K5" s="30">
        <v>49.99</v>
      </c>
      <c r="L5" s="28" t="s">
        <v>129</v>
      </c>
      <c r="M5" s="28" t="s">
        <v>104</v>
      </c>
      <c r="N5" s="29" t="s">
        <v>216</v>
      </c>
      <c r="O5" s="32" t="s">
        <v>217</v>
      </c>
      <c r="P5" s="32" t="s">
        <v>104</v>
      </c>
      <c r="Q5" s="32">
        <v>0</v>
      </c>
      <c r="R5" s="32">
        <v>0</v>
      </c>
      <c r="S5" s="32">
        <v>0</v>
      </c>
      <c r="T5" s="28" t="s">
        <v>218</v>
      </c>
      <c r="U5" s="41">
        <v>1</v>
      </c>
      <c r="V5" s="39">
        <v>3</v>
      </c>
      <c r="W5" s="32">
        <v>10</v>
      </c>
      <c r="X5" s="32" t="s">
        <v>33</v>
      </c>
    </row>
    <row r="6" spans="1:24" s="42" customFormat="1" ht="16.5" x14ac:dyDescent="0.3">
      <c r="A6" s="20">
        <v>5</v>
      </c>
      <c r="B6" s="20" t="s">
        <v>138</v>
      </c>
      <c r="C6" s="65" t="s">
        <v>139</v>
      </c>
      <c r="D6" s="17" t="s">
        <v>100</v>
      </c>
      <c r="E6" s="17" t="s">
        <v>214</v>
      </c>
      <c r="F6" s="19" t="s">
        <v>215</v>
      </c>
      <c r="G6" s="19" t="s">
        <v>33</v>
      </c>
      <c r="H6" s="19" t="s">
        <v>103</v>
      </c>
      <c r="I6" s="36">
        <v>1</v>
      </c>
      <c r="J6" s="24">
        <v>4.1999999999999997E-3</v>
      </c>
      <c r="K6" s="21">
        <v>49.99</v>
      </c>
      <c r="L6" s="19" t="s">
        <v>129</v>
      </c>
      <c r="M6" s="19" t="s">
        <v>104</v>
      </c>
      <c r="N6" s="23" t="s">
        <v>216</v>
      </c>
      <c r="O6" s="20" t="s">
        <v>217</v>
      </c>
      <c r="P6" s="20" t="s">
        <v>104</v>
      </c>
      <c r="Q6" s="20">
        <v>0</v>
      </c>
      <c r="R6" s="20">
        <v>0</v>
      </c>
      <c r="S6" s="20">
        <v>0</v>
      </c>
      <c r="T6" s="19" t="s">
        <v>218</v>
      </c>
      <c r="U6" s="37">
        <v>1</v>
      </c>
      <c r="V6" s="36">
        <v>3</v>
      </c>
      <c r="W6" s="20">
        <v>10</v>
      </c>
      <c r="X6" s="20" t="s">
        <v>33</v>
      </c>
    </row>
    <row r="7" spans="1:24" s="42" customFormat="1" ht="16.5" x14ac:dyDescent="0.3">
      <c r="A7" s="32">
        <v>6</v>
      </c>
      <c r="B7" s="32" t="s">
        <v>140</v>
      </c>
      <c r="C7" s="66" t="s">
        <v>141</v>
      </c>
      <c r="D7" s="26" t="s">
        <v>100</v>
      </c>
      <c r="E7" s="26" t="s">
        <v>214</v>
      </c>
      <c r="F7" s="28" t="s">
        <v>215</v>
      </c>
      <c r="G7" s="28" t="s">
        <v>33</v>
      </c>
      <c r="H7" s="28" t="s">
        <v>103</v>
      </c>
      <c r="I7" s="39">
        <v>1</v>
      </c>
      <c r="J7" s="33">
        <v>4.1999999999999997E-3</v>
      </c>
      <c r="K7" s="30">
        <v>49.99</v>
      </c>
      <c r="L7" s="28" t="s">
        <v>129</v>
      </c>
      <c r="M7" s="28" t="s">
        <v>104</v>
      </c>
      <c r="N7" s="29" t="s">
        <v>216</v>
      </c>
      <c r="O7" s="32" t="s">
        <v>217</v>
      </c>
      <c r="P7" s="32" t="s">
        <v>104</v>
      </c>
      <c r="Q7" s="32">
        <v>0</v>
      </c>
      <c r="R7" s="32">
        <v>0</v>
      </c>
      <c r="S7" s="32">
        <v>0</v>
      </c>
      <c r="T7" s="28" t="s">
        <v>218</v>
      </c>
      <c r="U7" s="41">
        <v>1</v>
      </c>
      <c r="V7" s="39">
        <v>3</v>
      </c>
      <c r="W7" s="32">
        <v>10</v>
      </c>
      <c r="X7" s="32" t="s">
        <v>33</v>
      </c>
    </row>
    <row r="8" spans="1:24" s="42" customFormat="1" ht="16.5" x14ac:dyDescent="0.3">
      <c r="A8" s="20">
        <v>7</v>
      </c>
      <c r="B8" s="20" t="s">
        <v>142</v>
      </c>
      <c r="C8" s="65" t="s">
        <v>143</v>
      </c>
      <c r="D8" s="17" t="s">
        <v>100</v>
      </c>
      <c r="E8" s="17" t="s">
        <v>214</v>
      </c>
      <c r="F8" s="19" t="s">
        <v>215</v>
      </c>
      <c r="G8" s="19" t="s">
        <v>33</v>
      </c>
      <c r="H8" s="19" t="s">
        <v>103</v>
      </c>
      <c r="I8" s="36">
        <v>1</v>
      </c>
      <c r="J8" s="24">
        <v>4.1999999999999997E-3</v>
      </c>
      <c r="K8" s="21">
        <v>49.99</v>
      </c>
      <c r="L8" s="19" t="s">
        <v>129</v>
      </c>
      <c r="M8" s="19" t="s">
        <v>104</v>
      </c>
      <c r="N8" s="23" t="s">
        <v>216</v>
      </c>
      <c r="O8" s="20" t="s">
        <v>217</v>
      </c>
      <c r="P8" s="20" t="s">
        <v>104</v>
      </c>
      <c r="Q8" s="20">
        <v>0</v>
      </c>
      <c r="R8" s="20">
        <v>0</v>
      </c>
      <c r="S8" s="20">
        <v>0</v>
      </c>
      <c r="T8" s="19" t="s">
        <v>218</v>
      </c>
      <c r="U8" s="37">
        <v>1</v>
      </c>
      <c r="V8" s="36">
        <v>3</v>
      </c>
      <c r="W8" s="20">
        <v>10</v>
      </c>
      <c r="X8" s="20" t="s">
        <v>33</v>
      </c>
    </row>
    <row r="9" spans="1:24" s="42" customFormat="1" ht="16.5" x14ac:dyDescent="0.3">
      <c r="A9" s="32">
        <v>8</v>
      </c>
      <c r="B9" s="32" t="s">
        <v>145</v>
      </c>
      <c r="C9" s="66" t="s">
        <v>146</v>
      </c>
      <c r="D9" s="26" t="s">
        <v>100</v>
      </c>
      <c r="E9" s="26" t="s">
        <v>214</v>
      </c>
      <c r="F9" s="28" t="s">
        <v>215</v>
      </c>
      <c r="G9" s="28" t="s">
        <v>33</v>
      </c>
      <c r="H9" s="28" t="s">
        <v>103</v>
      </c>
      <c r="I9" s="39">
        <v>1</v>
      </c>
      <c r="J9" s="33">
        <v>4.1999999999999997E-3</v>
      </c>
      <c r="K9" s="30">
        <v>49.99</v>
      </c>
      <c r="L9" s="28" t="s">
        <v>129</v>
      </c>
      <c r="M9" s="28" t="s">
        <v>104</v>
      </c>
      <c r="N9" s="29" t="s">
        <v>216</v>
      </c>
      <c r="O9" s="32" t="s">
        <v>217</v>
      </c>
      <c r="P9" s="32" t="s">
        <v>104</v>
      </c>
      <c r="Q9" s="32">
        <v>0</v>
      </c>
      <c r="R9" s="32">
        <v>0</v>
      </c>
      <c r="S9" s="32">
        <v>0</v>
      </c>
      <c r="T9" s="28" t="s">
        <v>218</v>
      </c>
      <c r="U9" s="41">
        <v>1</v>
      </c>
      <c r="V9" s="39">
        <v>3</v>
      </c>
      <c r="W9" s="32">
        <v>10</v>
      </c>
      <c r="X9" s="32" t="s">
        <v>33</v>
      </c>
    </row>
    <row r="10" spans="1:24" s="42" customFormat="1" ht="16.5" x14ac:dyDescent="0.45">
      <c r="A10" s="20">
        <v>9</v>
      </c>
      <c r="B10" s="67" t="s">
        <v>147</v>
      </c>
      <c r="C10" s="65" t="s">
        <v>148</v>
      </c>
      <c r="D10" s="17" t="s">
        <v>100</v>
      </c>
      <c r="E10" s="17" t="s">
        <v>214</v>
      </c>
      <c r="F10" s="19" t="s">
        <v>215</v>
      </c>
      <c r="G10" s="19" t="s">
        <v>33</v>
      </c>
      <c r="H10" s="19" t="s">
        <v>103</v>
      </c>
      <c r="I10" s="36">
        <v>1</v>
      </c>
      <c r="J10" s="24">
        <v>4.1999999999999997E-3</v>
      </c>
      <c r="K10" s="21">
        <v>49.99</v>
      </c>
      <c r="L10" s="19" t="s">
        <v>129</v>
      </c>
      <c r="M10" s="19" t="s">
        <v>104</v>
      </c>
      <c r="N10" s="23" t="s">
        <v>216</v>
      </c>
      <c r="O10" s="20" t="s">
        <v>217</v>
      </c>
      <c r="P10" s="20" t="s">
        <v>104</v>
      </c>
      <c r="Q10" s="20">
        <v>0</v>
      </c>
      <c r="R10" s="20">
        <v>0</v>
      </c>
      <c r="S10" s="20">
        <v>0</v>
      </c>
      <c r="T10" s="19" t="s">
        <v>218</v>
      </c>
      <c r="U10" s="37">
        <v>1</v>
      </c>
      <c r="V10" s="36">
        <v>3</v>
      </c>
      <c r="W10" s="20">
        <v>10</v>
      </c>
      <c r="X10" s="20" t="s">
        <v>33</v>
      </c>
    </row>
    <row r="11" spans="1:24" s="42" customFormat="1" ht="16.5" x14ac:dyDescent="0.45">
      <c r="A11" s="32">
        <v>10</v>
      </c>
      <c r="B11" s="68" t="s">
        <v>149</v>
      </c>
      <c r="C11" s="66" t="s">
        <v>150</v>
      </c>
      <c r="D11" s="26" t="s">
        <v>100</v>
      </c>
      <c r="E11" s="26" t="s">
        <v>214</v>
      </c>
      <c r="F11" s="28" t="s">
        <v>215</v>
      </c>
      <c r="G11" s="28" t="s">
        <v>33</v>
      </c>
      <c r="H11" s="28" t="s">
        <v>103</v>
      </c>
      <c r="I11" s="39">
        <v>1</v>
      </c>
      <c r="J11" s="33">
        <v>4.1999999999999997E-3</v>
      </c>
      <c r="K11" s="30">
        <v>49.99</v>
      </c>
      <c r="L11" s="28" t="s">
        <v>129</v>
      </c>
      <c r="M11" s="28" t="s">
        <v>104</v>
      </c>
      <c r="N11" s="29" t="s">
        <v>216</v>
      </c>
      <c r="O11" s="32" t="s">
        <v>217</v>
      </c>
      <c r="P11" s="32" t="s">
        <v>104</v>
      </c>
      <c r="Q11" s="32">
        <v>0</v>
      </c>
      <c r="R11" s="32">
        <v>0</v>
      </c>
      <c r="S11" s="32">
        <v>0</v>
      </c>
      <c r="T11" s="28" t="s">
        <v>218</v>
      </c>
      <c r="U11" s="41">
        <v>1</v>
      </c>
      <c r="V11" s="39">
        <v>3</v>
      </c>
      <c r="W11" s="32">
        <v>10</v>
      </c>
      <c r="X11" s="32" t="s">
        <v>33</v>
      </c>
    </row>
    <row r="12" spans="1:24" s="42" customFormat="1" ht="16.5" x14ac:dyDescent="0.45">
      <c r="A12" s="20">
        <v>11</v>
      </c>
      <c r="B12" s="67" t="s">
        <v>151</v>
      </c>
      <c r="C12" s="65" t="s">
        <v>152</v>
      </c>
      <c r="D12" s="17" t="s">
        <v>219</v>
      </c>
      <c r="E12" s="17" t="s">
        <v>220</v>
      </c>
      <c r="F12" s="19" t="s">
        <v>221</v>
      </c>
      <c r="G12" s="19" t="s">
        <v>33</v>
      </c>
      <c r="H12" s="19" t="s">
        <v>103</v>
      </c>
      <c r="I12" s="36">
        <v>1</v>
      </c>
      <c r="J12" s="24">
        <v>3.8999999999999998E-3</v>
      </c>
      <c r="K12" s="21">
        <v>49.99</v>
      </c>
      <c r="L12" s="19" t="s">
        <v>154</v>
      </c>
      <c r="M12" s="19" t="s">
        <v>104</v>
      </c>
      <c r="N12" s="23" t="s">
        <v>222</v>
      </c>
      <c r="O12" s="20" t="s">
        <v>217</v>
      </c>
      <c r="P12" s="20" t="s">
        <v>104</v>
      </c>
      <c r="Q12" s="20">
        <v>0</v>
      </c>
      <c r="R12" s="20">
        <v>0</v>
      </c>
      <c r="S12" s="20" t="s">
        <v>33</v>
      </c>
      <c r="T12" s="19" t="s">
        <v>223</v>
      </c>
      <c r="U12" s="37">
        <v>1</v>
      </c>
      <c r="V12" s="36">
        <v>3</v>
      </c>
      <c r="W12" s="20">
        <v>10</v>
      </c>
      <c r="X12" s="20" t="s">
        <v>33</v>
      </c>
    </row>
    <row r="13" spans="1:24" s="42" customFormat="1" ht="16.5" x14ac:dyDescent="0.45">
      <c r="A13" s="32">
        <v>12</v>
      </c>
      <c r="B13" s="68" t="s">
        <v>155</v>
      </c>
      <c r="C13" s="66" t="s">
        <v>156</v>
      </c>
      <c r="D13" s="26" t="s">
        <v>219</v>
      </c>
      <c r="E13" s="26" t="s">
        <v>220</v>
      </c>
      <c r="F13" s="28" t="s">
        <v>221</v>
      </c>
      <c r="G13" s="28" t="s">
        <v>33</v>
      </c>
      <c r="H13" s="28" t="s">
        <v>103</v>
      </c>
      <c r="I13" s="39">
        <v>1</v>
      </c>
      <c r="J13" s="33">
        <v>3.8999999999999998E-3</v>
      </c>
      <c r="K13" s="30">
        <v>49.99</v>
      </c>
      <c r="L13" s="28" t="s">
        <v>154</v>
      </c>
      <c r="M13" s="28" t="s">
        <v>104</v>
      </c>
      <c r="N13" s="29" t="s">
        <v>222</v>
      </c>
      <c r="O13" s="32" t="s">
        <v>217</v>
      </c>
      <c r="P13" s="32" t="s">
        <v>104</v>
      </c>
      <c r="Q13" s="32">
        <v>0</v>
      </c>
      <c r="R13" s="32">
        <v>0</v>
      </c>
      <c r="S13" s="32" t="s">
        <v>33</v>
      </c>
      <c r="T13" s="28" t="s">
        <v>223</v>
      </c>
      <c r="U13" s="41">
        <v>1</v>
      </c>
      <c r="V13" s="39">
        <v>3</v>
      </c>
      <c r="W13" s="32">
        <v>10</v>
      </c>
      <c r="X13" s="32" t="s">
        <v>33</v>
      </c>
    </row>
    <row r="14" spans="1:24" s="42" customFormat="1" ht="16.5" x14ac:dyDescent="0.45">
      <c r="A14" s="20">
        <v>13</v>
      </c>
      <c r="B14" s="67" t="s">
        <v>157</v>
      </c>
      <c r="C14" s="65" t="s">
        <v>158</v>
      </c>
      <c r="D14" s="17" t="s">
        <v>219</v>
      </c>
      <c r="E14" s="17" t="s">
        <v>220</v>
      </c>
      <c r="F14" s="19" t="s">
        <v>221</v>
      </c>
      <c r="G14" s="19" t="s">
        <v>33</v>
      </c>
      <c r="H14" s="19" t="s">
        <v>103</v>
      </c>
      <c r="I14" s="36">
        <v>1</v>
      </c>
      <c r="J14" s="24">
        <v>3.8999999999999998E-3</v>
      </c>
      <c r="K14" s="21">
        <v>49.99</v>
      </c>
      <c r="L14" s="19" t="s">
        <v>154</v>
      </c>
      <c r="M14" s="19" t="s">
        <v>104</v>
      </c>
      <c r="N14" s="23" t="s">
        <v>222</v>
      </c>
      <c r="O14" s="20" t="s">
        <v>217</v>
      </c>
      <c r="P14" s="20" t="s">
        <v>104</v>
      </c>
      <c r="Q14" s="20">
        <v>0</v>
      </c>
      <c r="R14" s="20">
        <v>0</v>
      </c>
      <c r="S14" s="20" t="s">
        <v>33</v>
      </c>
      <c r="T14" s="19" t="s">
        <v>223</v>
      </c>
      <c r="U14" s="37">
        <v>1</v>
      </c>
      <c r="V14" s="36">
        <v>3</v>
      </c>
      <c r="W14" s="20">
        <v>10</v>
      </c>
      <c r="X14" s="20" t="s">
        <v>33</v>
      </c>
    </row>
    <row r="15" spans="1:24" s="42" customFormat="1" ht="16.5" x14ac:dyDescent="0.45">
      <c r="A15" s="32">
        <v>14</v>
      </c>
      <c r="B15" s="68" t="s">
        <v>159</v>
      </c>
      <c r="C15" s="69" t="s">
        <v>160</v>
      </c>
      <c r="D15" s="26" t="s">
        <v>108</v>
      </c>
      <c r="E15" s="26" t="s">
        <v>224</v>
      </c>
      <c r="F15" s="28" t="s">
        <v>225</v>
      </c>
      <c r="G15" s="28" t="s">
        <v>33</v>
      </c>
      <c r="H15" s="28" t="s">
        <v>111</v>
      </c>
      <c r="I15" s="39">
        <v>1</v>
      </c>
      <c r="J15" s="33">
        <v>2.8E-3</v>
      </c>
      <c r="K15" s="30">
        <v>49.99</v>
      </c>
      <c r="L15" s="28" t="s">
        <v>162</v>
      </c>
      <c r="M15" s="28" t="s">
        <v>226</v>
      </c>
      <c r="N15" s="29" t="s">
        <v>227</v>
      </c>
      <c r="O15" s="32" t="s">
        <v>106</v>
      </c>
      <c r="P15" s="32">
        <v>0.02</v>
      </c>
      <c r="Q15" s="32">
        <v>0</v>
      </c>
      <c r="R15" s="32">
        <v>0</v>
      </c>
      <c r="S15" s="32">
        <v>0</v>
      </c>
      <c r="T15" s="28" t="s">
        <v>228</v>
      </c>
      <c r="U15" s="41">
        <v>1</v>
      </c>
      <c r="V15" s="39">
        <v>3</v>
      </c>
      <c r="W15" s="32">
        <v>10</v>
      </c>
      <c r="X15" s="32" t="s">
        <v>33</v>
      </c>
    </row>
    <row r="16" spans="1:24" s="42" customFormat="1" ht="16.5" x14ac:dyDescent="0.45">
      <c r="A16" s="20">
        <v>15</v>
      </c>
      <c r="B16" s="67" t="s">
        <v>164</v>
      </c>
      <c r="C16" s="70" t="s">
        <v>165</v>
      </c>
      <c r="D16" s="17" t="s">
        <v>108</v>
      </c>
      <c r="E16" s="17" t="s">
        <v>224</v>
      </c>
      <c r="F16" s="19" t="s">
        <v>225</v>
      </c>
      <c r="G16" s="19" t="s">
        <v>33</v>
      </c>
      <c r="H16" s="19" t="s">
        <v>111</v>
      </c>
      <c r="I16" s="36">
        <v>1</v>
      </c>
      <c r="J16" s="24">
        <v>2.8E-3</v>
      </c>
      <c r="K16" s="21">
        <v>49.99</v>
      </c>
      <c r="L16" s="19" t="s">
        <v>162</v>
      </c>
      <c r="M16" s="19" t="s">
        <v>226</v>
      </c>
      <c r="N16" s="23" t="s">
        <v>227</v>
      </c>
      <c r="O16" s="20" t="s">
        <v>106</v>
      </c>
      <c r="P16" s="20">
        <v>0.02</v>
      </c>
      <c r="Q16" s="20">
        <v>0</v>
      </c>
      <c r="R16" s="20">
        <v>0</v>
      </c>
      <c r="S16" s="20">
        <v>0</v>
      </c>
      <c r="T16" s="19" t="s">
        <v>228</v>
      </c>
      <c r="U16" s="37">
        <v>1</v>
      </c>
      <c r="V16" s="36">
        <v>3</v>
      </c>
      <c r="W16" s="20">
        <v>10</v>
      </c>
      <c r="X16" s="20" t="s">
        <v>33</v>
      </c>
    </row>
    <row r="17" spans="1:24" s="42" customFormat="1" ht="16.5" x14ac:dyDescent="0.45">
      <c r="A17" s="32">
        <v>16</v>
      </c>
      <c r="B17" s="68" t="s">
        <v>166</v>
      </c>
      <c r="C17" s="69" t="s">
        <v>167</v>
      </c>
      <c r="D17" s="26" t="s">
        <v>108</v>
      </c>
      <c r="E17" s="26" t="s">
        <v>224</v>
      </c>
      <c r="F17" s="28" t="s">
        <v>225</v>
      </c>
      <c r="G17" s="28" t="s">
        <v>33</v>
      </c>
      <c r="H17" s="28" t="s">
        <v>111</v>
      </c>
      <c r="I17" s="39">
        <v>1</v>
      </c>
      <c r="J17" s="33">
        <v>2.8E-3</v>
      </c>
      <c r="K17" s="30">
        <v>49.99</v>
      </c>
      <c r="L17" s="28" t="s">
        <v>162</v>
      </c>
      <c r="M17" s="28" t="s">
        <v>226</v>
      </c>
      <c r="N17" s="29" t="s">
        <v>227</v>
      </c>
      <c r="O17" s="32" t="s">
        <v>106</v>
      </c>
      <c r="P17" s="32">
        <v>0.02</v>
      </c>
      <c r="Q17" s="32">
        <v>0</v>
      </c>
      <c r="R17" s="32">
        <v>0</v>
      </c>
      <c r="S17" s="32">
        <v>0</v>
      </c>
      <c r="T17" s="28" t="s">
        <v>228</v>
      </c>
      <c r="U17" s="41">
        <v>1</v>
      </c>
      <c r="V17" s="39">
        <v>3</v>
      </c>
      <c r="W17" s="32">
        <v>10</v>
      </c>
      <c r="X17" s="32" t="s">
        <v>33</v>
      </c>
    </row>
    <row r="18" spans="1:24" s="42" customFormat="1" ht="16.5" x14ac:dyDescent="0.45">
      <c r="A18" s="20">
        <v>17</v>
      </c>
      <c r="B18" s="67" t="s">
        <v>168</v>
      </c>
      <c r="C18" s="70" t="s">
        <v>169</v>
      </c>
      <c r="D18" s="17" t="s">
        <v>108</v>
      </c>
      <c r="E18" s="17" t="s">
        <v>224</v>
      </c>
      <c r="F18" s="19" t="s">
        <v>225</v>
      </c>
      <c r="G18" s="19" t="s">
        <v>33</v>
      </c>
      <c r="H18" s="19" t="s">
        <v>111</v>
      </c>
      <c r="I18" s="36">
        <v>1</v>
      </c>
      <c r="J18" s="24">
        <v>2.8E-3</v>
      </c>
      <c r="K18" s="21">
        <v>49.99</v>
      </c>
      <c r="L18" s="19" t="s">
        <v>162</v>
      </c>
      <c r="M18" s="19" t="s">
        <v>226</v>
      </c>
      <c r="N18" s="23" t="s">
        <v>227</v>
      </c>
      <c r="O18" s="20" t="s">
        <v>106</v>
      </c>
      <c r="P18" s="20">
        <v>0.02</v>
      </c>
      <c r="Q18" s="20">
        <v>0</v>
      </c>
      <c r="R18" s="20">
        <v>0</v>
      </c>
      <c r="S18" s="20">
        <v>0</v>
      </c>
      <c r="T18" s="19" t="s">
        <v>228</v>
      </c>
      <c r="U18" s="37">
        <v>1</v>
      </c>
      <c r="V18" s="36">
        <v>3</v>
      </c>
      <c r="W18" s="20">
        <v>10</v>
      </c>
      <c r="X18" s="20" t="s">
        <v>33</v>
      </c>
    </row>
    <row r="19" spans="1:24" s="42" customFormat="1" ht="16.5" x14ac:dyDescent="0.45">
      <c r="A19" s="32">
        <v>18</v>
      </c>
      <c r="B19" s="68" t="s">
        <v>170</v>
      </c>
      <c r="C19" s="69" t="s">
        <v>171</v>
      </c>
      <c r="D19" s="26" t="s">
        <v>108</v>
      </c>
      <c r="E19" s="26" t="s">
        <v>224</v>
      </c>
      <c r="F19" s="28" t="s">
        <v>225</v>
      </c>
      <c r="G19" s="28" t="s">
        <v>33</v>
      </c>
      <c r="H19" s="28" t="s">
        <v>111</v>
      </c>
      <c r="I19" s="39">
        <v>1</v>
      </c>
      <c r="J19" s="33">
        <v>2.8E-3</v>
      </c>
      <c r="K19" s="30">
        <v>49.99</v>
      </c>
      <c r="L19" s="28" t="s">
        <v>162</v>
      </c>
      <c r="M19" s="28" t="s">
        <v>226</v>
      </c>
      <c r="N19" s="29" t="s">
        <v>227</v>
      </c>
      <c r="O19" s="32" t="s">
        <v>106</v>
      </c>
      <c r="P19" s="32">
        <v>0.02</v>
      </c>
      <c r="Q19" s="32">
        <v>0</v>
      </c>
      <c r="R19" s="32">
        <v>0</v>
      </c>
      <c r="S19" s="32">
        <v>0</v>
      </c>
      <c r="T19" s="28" t="s">
        <v>228</v>
      </c>
      <c r="U19" s="41">
        <v>1</v>
      </c>
      <c r="V19" s="39">
        <v>3</v>
      </c>
      <c r="W19" s="32">
        <v>10</v>
      </c>
      <c r="X19" s="32" t="s">
        <v>33</v>
      </c>
    </row>
    <row r="20" spans="1:24" s="42" customFormat="1" ht="16.5" x14ac:dyDescent="0.45">
      <c r="A20" s="20">
        <v>19</v>
      </c>
      <c r="B20" s="67" t="s">
        <v>172</v>
      </c>
      <c r="C20" s="70" t="s">
        <v>173</v>
      </c>
      <c r="D20" s="17" t="s">
        <v>108</v>
      </c>
      <c r="E20" s="17" t="s">
        <v>224</v>
      </c>
      <c r="F20" s="19" t="s">
        <v>225</v>
      </c>
      <c r="G20" s="19" t="s">
        <v>33</v>
      </c>
      <c r="H20" s="19" t="s">
        <v>111</v>
      </c>
      <c r="I20" s="36">
        <v>1</v>
      </c>
      <c r="J20" s="24">
        <v>2.8E-3</v>
      </c>
      <c r="K20" s="21">
        <v>49.99</v>
      </c>
      <c r="L20" s="19" t="s">
        <v>162</v>
      </c>
      <c r="M20" s="19" t="s">
        <v>226</v>
      </c>
      <c r="N20" s="23" t="s">
        <v>227</v>
      </c>
      <c r="O20" s="20" t="s">
        <v>106</v>
      </c>
      <c r="P20" s="20">
        <v>0.02</v>
      </c>
      <c r="Q20" s="20">
        <v>0</v>
      </c>
      <c r="R20" s="20">
        <v>0</v>
      </c>
      <c r="S20" s="20">
        <v>0</v>
      </c>
      <c r="T20" s="19" t="s">
        <v>228</v>
      </c>
      <c r="U20" s="37">
        <v>1</v>
      </c>
      <c r="V20" s="36">
        <v>3</v>
      </c>
      <c r="W20" s="20">
        <v>10</v>
      </c>
      <c r="X20" s="20" t="s">
        <v>33</v>
      </c>
    </row>
    <row r="21" spans="1:24" s="42" customFormat="1" ht="16.5" x14ac:dyDescent="0.45">
      <c r="A21" s="32">
        <v>20</v>
      </c>
      <c r="B21" s="68" t="s">
        <v>175</v>
      </c>
      <c r="C21" s="69" t="s">
        <v>176</v>
      </c>
      <c r="D21" s="26" t="s">
        <v>108</v>
      </c>
      <c r="E21" s="26" t="s">
        <v>224</v>
      </c>
      <c r="F21" s="28" t="s">
        <v>225</v>
      </c>
      <c r="G21" s="28" t="s">
        <v>33</v>
      </c>
      <c r="H21" s="28" t="s">
        <v>111</v>
      </c>
      <c r="I21" s="39">
        <v>1</v>
      </c>
      <c r="J21" s="33">
        <v>2.8E-3</v>
      </c>
      <c r="K21" s="30">
        <v>49.99</v>
      </c>
      <c r="L21" s="28" t="s">
        <v>162</v>
      </c>
      <c r="M21" s="28" t="s">
        <v>226</v>
      </c>
      <c r="N21" s="29" t="s">
        <v>227</v>
      </c>
      <c r="O21" s="32" t="s">
        <v>106</v>
      </c>
      <c r="P21" s="32">
        <v>0.02</v>
      </c>
      <c r="Q21" s="32">
        <v>0</v>
      </c>
      <c r="R21" s="32">
        <v>0</v>
      </c>
      <c r="S21" s="32">
        <v>0</v>
      </c>
      <c r="T21" s="28" t="s">
        <v>228</v>
      </c>
      <c r="U21" s="41">
        <v>1</v>
      </c>
      <c r="V21" s="39">
        <v>3</v>
      </c>
      <c r="W21" s="32">
        <v>10</v>
      </c>
      <c r="X21" s="32" t="s">
        <v>33</v>
      </c>
    </row>
    <row r="22" spans="1:24" s="42" customFormat="1" ht="16.5" x14ac:dyDescent="0.45">
      <c r="A22" s="20">
        <v>21</v>
      </c>
      <c r="B22" s="67" t="s">
        <v>178</v>
      </c>
      <c r="C22" s="70" t="s">
        <v>179</v>
      </c>
      <c r="D22" s="17" t="s">
        <v>108</v>
      </c>
      <c r="E22" s="17" t="s">
        <v>224</v>
      </c>
      <c r="F22" s="19" t="s">
        <v>225</v>
      </c>
      <c r="G22" s="19" t="s">
        <v>33</v>
      </c>
      <c r="H22" s="19" t="s">
        <v>111</v>
      </c>
      <c r="I22" s="36">
        <v>1</v>
      </c>
      <c r="J22" s="24">
        <v>2.8E-3</v>
      </c>
      <c r="K22" s="21">
        <v>49.99</v>
      </c>
      <c r="L22" s="19" t="s">
        <v>162</v>
      </c>
      <c r="M22" s="19" t="s">
        <v>226</v>
      </c>
      <c r="N22" s="23" t="s">
        <v>227</v>
      </c>
      <c r="O22" s="20" t="s">
        <v>106</v>
      </c>
      <c r="P22" s="20">
        <v>0.02</v>
      </c>
      <c r="Q22" s="20">
        <v>0</v>
      </c>
      <c r="R22" s="20">
        <v>0</v>
      </c>
      <c r="S22" s="20">
        <v>0</v>
      </c>
      <c r="T22" s="19" t="s">
        <v>228</v>
      </c>
      <c r="U22" s="37">
        <v>1</v>
      </c>
      <c r="V22" s="36">
        <v>3</v>
      </c>
      <c r="W22" s="20">
        <v>10</v>
      </c>
      <c r="X22" s="20" t="s">
        <v>33</v>
      </c>
    </row>
    <row r="23" spans="1:24" s="42" customFormat="1" ht="16.5" x14ac:dyDescent="0.45">
      <c r="A23" s="32">
        <v>22</v>
      </c>
      <c r="B23" s="68" t="s">
        <v>180</v>
      </c>
      <c r="C23" s="69" t="s">
        <v>181</v>
      </c>
      <c r="D23" s="26" t="s">
        <v>219</v>
      </c>
      <c r="E23" s="26" t="s">
        <v>229</v>
      </c>
      <c r="F23" s="28" t="s">
        <v>230</v>
      </c>
      <c r="G23" s="28" t="s">
        <v>33</v>
      </c>
      <c r="H23" s="28" t="s">
        <v>103</v>
      </c>
      <c r="I23" s="39">
        <v>1</v>
      </c>
      <c r="J23" s="33">
        <v>3.2000000000000002E-3</v>
      </c>
      <c r="K23" s="30">
        <v>49.99</v>
      </c>
      <c r="L23" s="28" t="s">
        <v>194</v>
      </c>
      <c r="M23" s="29" t="s">
        <v>231</v>
      </c>
      <c r="N23" s="29" t="s">
        <v>232</v>
      </c>
      <c r="O23" s="32" t="s">
        <v>106</v>
      </c>
      <c r="P23" s="32">
        <v>0.26</v>
      </c>
      <c r="Q23" s="32">
        <v>0</v>
      </c>
      <c r="R23" s="32">
        <v>0</v>
      </c>
      <c r="S23" s="32">
        <v>0</v>
      </c>
      <c r="T23" s="28" t="s">
        <v>233</v>
      </c>
      <c r="U23" s="41">
        <v>1</v>
      </c>
      <c r="V23" s="39">
        <v>3</v>
      </c>
      <c r="W23" s="32">
        <v>10</v>
      </c>
      <c r="X23" s="32" t="s">
        <v>33</v>
      </c>
    </row>
    <row r="24" spans="1:24" s="42" customFormat="1" ht="16.5" x14ac:dyDescent="0.45">
      <c r="A24" s="20">
        <v>23</v>
      </c>
      <c r="B24" s="67" t="s">
        <v>182</v>
      </c>
      <c r="C24" s="70" t="s">
        <v>183</v>
      </c>
      <c r="D24" s="17" t="s">
        <v>219</v>
      </c>
      <c r="E24" s="17" t="s">
        <v>229</v>
      </c>
      <c r="F24" s="19" t="s">
        <v>230</v>
      </c>
      <c r="G24" s="19" t="s">
        <v>33</v>
      </c>
      <c r="H24" s="19" t="s">
        <v>103</v>
      </c>
      <c r="I24" s="36">
        <v>1</v>
      </c>
      <c r="J24" s="24">
        <v>3.2000000000000002E-3</v>
      </c>
      <c r="K24" s="21">
        <v>49.99</v>
      </c>
      <c r="L24" s="19" t="s">
        <v>194</v>
      </c>
      <c r="M24" s="23" t="s">
        <v>231</v>
      </c>
      <c r="N24" s="23" t="s">
        <v>232</v>
      </c>
      <c r="O24" s="20" t="s">
        <v>106</v>
      </c>
      <c r="P24" s="20">
        <v>0.26</v>
      </c>
      <c r="Q24" s="20">
        <v>0</v>
      </c>
      <c r="R24" s="20">
        <v>0</v>
      </c>
      <c r="S24" s="20">
        <v>0</v>
      </c>
      <c r="T24" s="19" t="s">
        <v>233</v>
      </c>
      <c r="U24" s="37">
        <v>1</v>
      </c>
      <c r="V24" s="36">
        <v>3</v>
      </c>
      <c r="W24" s="20">
        <v>10</v>
      </c>
      <c r="X24" s="20" t="s">
        <v>33</v>
      </c>
    </row>
    <row r="25" spans="1:24" s="42" customFormat="1" ht="16.5" x14ac:dyDescent="0.45">
      <c r="A25" s="32">
        <v>24</v>
      </c>
      <c r="B25" s="68" t="s">
        <v>184</v>
      </c>
      <c r="C25" s="69" t="s">
        <v>185</v>
      </c>
      <c r="D25" s="26" t="s">
        <v>219</v>
      </c>
      <c r="E25" s="26" t="s">
        <v>229</v>
      </c>
      <c r="F25" s="28" t="s">
        <v>230</v>
      </c>
      <c r="G25" s="28" t="s">
        <v>33</v>
      </c>
      <c r="H25" s="28" t="s">
        <v>103</v>
      </c>
      <c r="I25" s="39">
        <v>1</v>
      </c>
      <c r="J25" s="33">
        <v>3.2000000000000002E-3</v>
      </c>
      <c r="K25" s="30">
        <v>49.99</v>
      </c>
      <c r="L25" s="28" t="s">
        <v>194</v>
      </c>
      <c r="M25" s="29" t="s">
        <v>231</v>
      </c>
      <c r="N25" s="29" t="s">
        <v>232</v>
      </c>
      <c r="O25" s="32" t="s">
        <v>106</v>
      </c>
      <c r="P25" s="32">
        <v>0.26</v>
      </c>
      <c r="Q25" s="32">
        <v>0</v>
      </c>
      <c r="R25" s="32">
        <v>0</v>
      </c>
      <c r="S25" s="32">
        <v>0</v>
      </c>
      <c r="T25" s="28" t="s">
        <v>233</v>
      </c>
      <c r="U25" s="41">
        <v>1</v>
      </c>
      <c r="V25" s="39">
        <v>3</v>
      </c>
      <c r="W25" s="32">
        <v>10</v>
      </c>
      <c r="X25" s="32" t="s">
        <v>33</v>
      </c>
    </row>
    <row r="26" spans="1:24" s="42" customFormat="1" ht="16.5" x14ac:dyDescent="0.45">
      <c r="A26" s="20">
        <v>25</v>
      </c>
      <c r="B26" s="67" t="s">
        <v>186</v>
      </c>
      <c r="C26" s="70" t="s">
        <v>187</v>
      </c>
      <c r="D26" s="17" t="s">
        <v>219</v>
      </c>
      <c r="E26" s="17" t="s">
        <v>229</v>
      </c>
      <c r="F26" s="19" t="s">
        <v>230</v>
      </c>
      <c r="G26" s="19" t="s">
        <v>33</v>
      </c>
      <c r="H26" s="19" t="s">
        <v>103</v>
      </c>
      <c r="I26" s="36">
        <v>1</v>
      </c>
      <c r="J26" s="24">
        <v>3.2000000000000002E-3</v>
      </c>
      <c r="K26" s="21">
        <v>49.99</v>
      </c>
      <c r="L26" s="19" t="s">
        <v>194</v>
      </c>
      <c r="M26" s="23" t="s">
        <v>231</v>
      </c>
      <c r="N26" s="23" t="s">
        <v>232</v>
      </c>
      <c r="O26" s="20" t="s">
        <v>106</v>
      </c>
      <c r="P26" s="20">
        <v>0.26</v>
      </c>
      <c r="Q26" s="20">
        <v>0</v>
      </c>
      <c r="R26" s="20">
        <v>0</v>
      </c>
      <c r="S26" s="20">
        <v>0</v>
      </c>
      <c r="T26" s="19" t="s">
        <v>233</v>
      </c>
      <c r="U26" s="37">
        <v>1</v>
      </c>
      <c r="V26" s="36">
        <v>3</v>
      </c>
      <c r="W26" s="20">
        <v>10</v>
      </c>
      <c r="X26" s="20" t="s">
        <v>33</v>
      </c>
    </row>
    <row r="27" spans="1:24" ht="16.5" x14ac:dyDescent="0.3">
      <c r="A27" s="32">
        <v>34</v>
      </c>
      <c r="B27" s="32" t="s">
        <v>188</v>
      </c>
      <c r="C27" s="71" t="s">
        <v>189</v>
      </c>
      <c r="D27" s="26" t="s">
        <v>219</v>
      </c>
      <c r="E27" s="26" t="s">
        <v>229</v>
      </c>
      <c r="F27" s="28" t="s">
        <v>230</v>
      </c>
      <c r="G27" s="28" t="s">
        <v>33</v>
      </c>
      <c r="H27" s="28" t="s">
        <v>103</v>
      </c>
      <c r="I27" s="39">
        <v>1</v>
      </c>
      <c r="J27" s="33">
        <v>3.2000000000000002E-3</v>
      </c>
      <c r="K27" s="30">
        <v>49.99</v>
      </c>
      <c r="L27" s="28" t="s">
        <v>194</v>
      </c>
      <c r="M27" s="29" t="s">
        <v>231</v>
      </c>
      <c r="N27" s="29" t="s">
        <v>232</v>
      </c>
      <c r="O27" s="32" t="s">
        <v>106</v>
      </c>
      <c r="P27" s="32">
        <v>0.26</v>
      </c>
      <c r="Q27" s="32">
        <v>0</v>
      </c>
      <c r="R27" s="32">
        <v>0</v>
      </c>
      <c r="S27" s="32">
        <v>0</v>
      </c>
      <c r="T27" s="28" t="s">
        <v>233</v>
      </c>
      <c r="U27" s="41">
        <v>1</v>
      </c>
      <c r="V27" s="39">
        <v>3</v>
      </c>
      <c r="W27" s="32">
        <v>10</v>
      </c>
      <c r="X27" s="32" t="s">
        <v>33</v>
      </c>
    </row>
    <row r="28" spans="1:24" ht="16.5" x14ac:dyDescent="0.3">
      <c r="A28" s="20">
        <v>35</v>
      </c>
      <c r="B28" s="20" t="s">
        <v>199</v>
      </c>
      <c r="C28" s="72" t="s">
        <v>200</v>
      </c>
      <c r="D28" s="17" t="s">
        <v>219</v>
      </c>
      <c r="E28" s="17" t="s">
        <v>229</v>
      </c>
      <c r="F28" s="19" t="s">
        <v>230</v>
      </c>
      <c r="G28" s="19" t="s">
        <v>33</v>
      </c>
      <c r="H28" s="19" t="s">
        <v>103</v>
      </c>
      <c r="I28" s="36">
        <v>1</v>
      </c>
      <c r="J28" s="24">
        <v>3.2000000000000002E-3</v>
      </c>
      <c r="K28" s="21">
        <v>49.99</v>
      </c>
      <c r="L28" s="19" t="s">
        <v>194</v>
      </c>
      <c r="M28" s="23" t="s">
        <v>231</v>
      </c>
      <c r="N28" s="23" t="s">
        <v>232</v>
      </c>
      <c r="O28" s="20" t="s">
        <v>106</v>
      </c>
      <c r="P28" s="20">
        <v>0.26</v>
      </c>
      <c r="Q28" s="20">
        <v>0</v>
      </c>
      <c r="R28" s="20">
        <v>0</v>
      </c>
      <c r="S28" s="20">
        <v>0</v>
      </c>
      <c r="T28" s="19" t="s">
        <v>233</v>
      </c>
      <c r="U28" s="37">
        <v>1</v>
      </c>
      <c r="V28" s="36">
        <v>3</v>
      </c>
      <c r="W28" s="20">
        <v>10</v>
      </c>
      <c r="X28" s="20" t="s">
        <v>33</v>
      </c>
    </row>
    <row r="29" spans="1:24" ht="16.5" x14ac:dyDescent="0.3">
      <c r="A29" s="32">
        <v>36</v>
      </c>
      <c r="B29" s="32" t="s">
        <v>201</v>
      </c>
      <c r="C29" s="71" t="s">
        <v>202</v>
      </c>
      <c r="D29" s="26" t="s">
        <v>219</v>
      </c>
      <c r="E29" s="26" t="s">
        <v>229</v>
      </c>
      <c r="F29" s="28" t="s">
        <v>230</v>
      </c>
      <c r="G29" s="28" t="s">
        <v>33</v>
      </c>
      <c r="H29" s="28" t="s">
        <v>103</v>
      </c>
      <c r="I29" s="39">
        <v>1</v>
      </c>
      <c r="J29" s="33">
        <v>3.2000000000000002E-3</v>
      </c>
      <c r="K29" s="30">
        <v>49.99</v>
      </c>
      <c r="L29" s="28" t="s">
        <v>194</v>
      </c>
      <c r="M29" s="29" t="s">
        <v>231</v>
      </c>
      <c r="N29" s="29" t="s">
        <v>232</v>
      </c>
      <c r="O29" s="32" t="s">
        <v>106</v>
      </c>
      <c r="P29" s="32">
        <v>0.26</v>
      </c>
      <c r="Q29" s="32">
        <v>0</v>
      </c>
      <c r="R29" s="32">
        <v>0</v>
      </c>
      <c r="S29" s="32">
        <v>0</v>
      </c>
      <c r="T29" s="28" t="s">
        <v>233</v>
      </c>
      <c r="U29" s="41">
        <v>1</v>
      </c>
      <c r="V29" s="39">
        <v>3</v>
      </c>
      <c r="W29" s="32">
        <v>10</v>
      </c>
      <c r="X29" s="32" t="s">
        <v>33</v>
      </c>
    </row>
    <row r="30" spans="1:24" ht="16.5" x14ac:dyDescent="0.3">
      <c r="A30" s="20">
        <v>37</v>
      </c>
      <c r="B30" s="20" t="s">
        <v>204</v>
      </c>
      <c r="C30" s="72" t="s">
        <v>205</v>
      </c>
      <c r="D30" s="17" t="s">
        <v>219</v>
      </c>
      <c r="E30" s="17" t="s">
        <v>229</v>
      </c>
      <c r="F30" s="19" t="s">
        <v>230</v>
      </c>
      <c r="G30" s="19" t="s">
        <v>33</v>
      </c>
      <c r="H30" s="19" t="s">
        <v>103</v>
      </c>
      <c r="I30" s="36">
        <v>1</v>
      </c>
      <c r="J30" s="24">
        <v>3.2000000000000002E-3</v>
      </c>
      <c r="K30" s="21">
        <v>49.99</v>
      </c>
      <c r="L30" s="19" t="s">
        <v>194</v>
      </c>
      <c r="M30" s="23" t="s">
        <v>231</v>
      </c>
      <c r="N30" s="23" t="s">
        <v>232</v>
      </c>
      <c r="O30" s="20" t="s">
        <v>106</v>
      </c>
      <c r="P30" s="20">
        <v>0.26</v>
      </c>
      <c r="Q30" s="20">
        <v>0</v>
      </c>
      <c r="R30" s="20">
        <v>0</v>
      </c>
      <c r="S30" s="20">
        <v>0</v>
      </c>
      <c r="T30" s="19" t="s">
        <v>233</v>
      </c>
      <c r="U30" s="37">
        <v>1</v>
      </c>
      <c r="V30" s="36">
        <v>3</v>
      </c>
      <c r="W30" s="20">
        <v>10</v>
      </c>
      <c r="X30" s="20" t="s">
        <v>33</v>
      </c>
    </row>
    <row r="31" spans="1:24" ht="16.5" x14ac:dyDescent="0.3">
      <c r="A31" s="32">
        <v>38</v>
      </c>
      <c r="B31" s="32" t="s">
        <v>206</v>
      </c>
      <c r="C31" s="71" t="s">
        <v>207</v>
      </c>
      <c r="D31" s="26" t="s">
        <v>219</v>
      </c>
      <c r="E31" s="26" t="s">
        <v>229</v>
      </c>
      <c r="F31" s="28" t="s">
        <v>230</v>
      </c>
      <c r="G31" s="28" t="s">
        <v>33</v>
      </c>
      <c r="H31" s="28" t="s">
        <v>103</v>
      </c>
      <c r="I31" s="39">
        <v>1</v>
      </c>
      <c r="J31" s="33">
        <v>3.2000000000000002E-3</v>
      </c>
      <c r="K31" s="30">
        <v>49.99</v>
      </c>
      <c r="L31" s="28" t="s">
        <v>194</v>
      </c>
      <c r="M31" s="29" t="s">
        <v>231</v>
      </c>
      <c r="N31" s="29" t="s">
        <v>232</v>
      </c>
      <c r="O31" s="32" t="s">
        <v>106</v>
      </c>
      <c r="P31" s="32">
        <v>0.26</v>
      </c>
      <c r="Q31" s="32">
        <v>0</v>
      </c>
      <c r="R31" s="32">
        <v>0</v>
      </c>
      <c r="S31" s="32">
        <v>0</v>
      </c>
      <c r="T31" s="28" t="s">
        <v>233</v>
      </c>
      <c r="U31" s="41">
        <v>1</v>
      </c>
      <c r="V31" s="39">
        <v>3</v>
      </c>
      <c r="W31" s="32">
        <v>10</v>
      </c>
      <c r="X31" s="32" t="s">
        <v>33</v>
      </c>
    </row>
    <row r="32" spans="1:24" ht="16.5" x14ac:dyDescent="0.3">
      <c r="A32" s="20">
        <v>39</v>
      </c>
      <c r="B32" s="20" t="s">
        <v>208</v>
      </c>
      <c r="C32" s="72" t="s">
        <v>209</v>
      </c>
      <c r="D32" s="17" t="s">
        <v>219</v>
      </c>
      <c r="E32" s="17" t="s">
        <v>229</v>
      </c>
      <c r="F32" s="19" t="s">
        <v>230</v>
      </c>
      <c r="G32" s="19" t="s">
        <v>33</v>
      </c>
      <c r="H32" s="19" t="s">
        <v>103</v>
      </c>
      <c r="I32" s="36">
        <v>1</v>
      </c>
      <c r="J32" s="24">
        <v>3.2000000000000002E-3</v>
      </c>
      <c r="K32" s="21">
        <v>49.99</v>
      </c>
      <c r="L32" s="19" t="s">
        <v>194</v>
      </c>
      <c r="M32" s="23" t="s">
        <v>231</v>
      </c>
      <c r="N32" s="23" t="s">
        <v>232</v>
      </c>
      <c r="O32" s="20" t="s">
        <v>106</v>
      </c>
      <c r="P32" s="20">
        <v>0.26</v>
      </c>
      <c r="Q32" s="20">
        <v>0</v>
      </c>
      <c r="R32" s="20">
        <v>0</v>
      </c>
      <c r="S32" s="20">
        <v>0</v>
      </c>
      <c r="T32" s="19" t="s">
        <v>233</v>
      </c>
      <c r="U32" s="37">
        <v>1</v>
      </c>
      <c r="V32" s="36">
        <v>3</v>
      </c>
      <c r="W32" s="20">
        <v>10</v>
      </c>
      <c r="X32" s="20" t="s">
        <v>33</v>
      </c>
    </row>
    <row r="33" spans="3:24" ht="16.5" x14ac:dyDescent="0.3">
      <c r="E33" s="73" t="s">
        <v>116</v>
      </c>
      <c r="F33" s="73" t="s">
        <v>116</v>
      </c>
      <c r="G33" s="53"/>
      <c r="L33" s="74" t="s">
        <v>117</v>
      </c>
      <c r="M33" s="34" t="s">
        <v>118</v>
      </c>
      <c r="N33" s="34" t="s">
        <v>119</v>
      </c>
      <c r="O33" s="34" t="s">
        <v>119</v>
      </c>
      <c r="P33" s="34" t="s">
        <v>234</v>
      </c>
      <c r="R33" s="34" t="s">
        <v>120</v>
      </c>
      <c r="S33" s="34"/>
      <c r="T33" s="34" t="s">
        <v>116</v>
      </c>
      <c r="W33" s="54">
        <v>1.25</v>
      </c>
      <c r="X33" s="54"/>
    </row>
    <row r="41" spans="3:24" x14ac:dyDescent="0.3">
      <c r="C41" s="12"/>
    </row>
    <row r="44" spans="3:24" x14ac:dyDescent="0.3">
      <c r="C44" s="12"/>
    </row>
    <row r="45" spans="3:24" x14ac:dyDescent="0.3">
      <c r="C45" s="12"/>
    </row>
  </sheetData>
  <phoneticPr fontId="16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9"/>
  <sheetViews>
    <sheetView zoomScale="80" zoomScaleNormal="80" workbookViewId="0">
      <pane ySplit="1" topLeftCell="A2" activePane="bottomLeft" state="frozen"/>
      <selection pane="bottomLeft" activeCell="D13" sqref="D13"/>
    </sheetView>
  </sheetViews>
  <sheetFormatPr defaultColWidth="9" defaultRowHeight="14" x14ac:dyDescent="0.3"/>
  <cols>
    <col min="1" max="1" width="6.33203125" style="12" customWidth="1"/>
    <col min="2" max="2" width="28.5" style="12" customWidth="1"/>
    <col min="3" max="3" width="48.75" style="12" customWidth="1"/>
    <col min="4" max="5" width="10.75" style="12" customWidth="1"/>
    <col min="6" max="7" width="8.5" style="12" customWidth="1"/>
    <col min="8" max="8" width="8.58203125" style="12" customWidth="1"/>
    <col min="9" max="9" width="11.33203125" style="12" customWidth="1"/>
    <col min="10" max="11" width="8" style="12" customWidth="1"/>
    <col min="12" max="12" width="10.75" style="12" customWidth="1"/>
    <col min="13" max="13" width="24.33203125" style="12" customWidth="1"/>
    <col min="14" max="14" width="11.25" style="12" customWidth="1"/>
    <col min="15" max="15" width="16.25" style="12" customWidth="1"/>
    <col min="16" max="16" width="16" style="12" customWidth="1"/>
    <col min="17" max="17" width="12.25" style="12" customWidth="1"/>
    <col min="18" max="18" width="23.5" style="12" customWidth="1"/>
    <col min="19" max="19" width="10.5" style="12" customWidth="1"/>
    <col min="20" max="20" width="11.25" style="12" customWidth="1"/>
    <col min="21" max="21" width="19" style="12" customWidth="1"/>
    <col min="22" max="22" width="11.58203125" style="12" customWidth="1"/>
    <col min="23" max="23" width="49.33203125" style="12" customWidth="1"/>
    <col min="24" max="24" width="6.33203125" style="12" customWidth="1"/>
    <col min="25" max="25" width="4.58203125" style="12" customWidth="1"/>
    <col min="26" max="26" width="16.08203125" style="12" customWidth="1"/>
    <col min="27" max="27" width="6.33203125" style="12" customWidth="1"/>
    <col min="28" max="16384" width="9" style="12"/>
  </cols>
  <sheetData>
    <row r="1" spans="1:27" ht="16.5" x14ac:dyDescent="0.3">
      <c r="A1" s="57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121</v>
      </c>
      <c r="L1" s="58" t="s">
        <v>235</v>
      </c>
      <c r="M1" s="58" t="s">
        <v>122</v>
      </c>
      <c r="N1" s="58" t="s">
        <v>12</v>
      </c>
      <c r="O1" s="58" t="s">
        <v>13</v>
      </c>
      <c r="P1" s="58" t="s">
        <v>14</v>
      </c>
      <c r="Q1" s="58" t="s">
        <v>16</v>
      </c>
      <c r="R1" s="58" t="s">
        <v>15</v>
      </c>
      <c r="S1" s="58" t="s">
        <v>236</v>
      </c>
      <c r="T1" s="59" t="s">
        <v>17</v>
      </c>
      <c r="U1" s="59" t="s">
        <v>123</v>
      </c>
      <c r="V1" s="59" t="s">
        <v>124</v>
      </c>
      <c r="W1" s="60" t="s">
        <v>18</v>
      </c>
      <c r="X1" s="15" t="s">
        <v>19</v>
      </c>
      <c r="Y1" s="15" t="s">
        <v>20</v>
      </c>
      <c r="Z1" s="15" t="s">
        <v>21</v>
      </c>
      <c r="AA1" s="15" t="s">
        <v>125</v>
      </c>
    </row>
    <row r="2" spans="1:27" s="55" customFormat="1" ht="31.15" customHeight="1" x14ac:dyDescent="0.3">
      <c r="A2" s="16">
        <v>1</v>
      </c>
      <c r="B2" s="16" t="s">
        <v>237</v>
      </c>
      <c r="C2" s="35" t="s">
        <v>238</v>
      </c>
      <c r="D2" s="16">
        <v>1</v>
      </c>
      <c r="E2" s="16">
        <v>4</v>
      </c>
      <c r="F2" s="16" t="s">
        <v>64</v>
      </c>
      <c r="G2" s="16" t="s">
        <v>190</v>
      </c>
      <c r="H2" s="16" t="s">
        <v>190</v>
      </c>
      <c r="I2" s="16" t="s">
        <v>191</v>
      </c>
      <c r="J2" s="16" t="s">
        <v>67</v>
      </c>
      <c r="K2" s="16" t="s">
        <v>67</v>
      </c>
      <c r="L2" s="16" t="s">
        <v>27</v>
      </c>
      <c r="M2" s="20" t="s">
        <v>192</v>
      </c>
      <c r="N2" s="18">
        <v>0.96809999999999996</v>
      </c>
      <c r="O2" s="22" t="s">
        <v>239</v>
      </c>
      <c r="P2" s="22" t="s">
        <v>240</v>
      </c>
      <c r="Q2" s="16" t="s">
        <v>196</v>
      </c>
      <c r="R2" s="16" t="s">
        <v>195</v>
      </c>
      <c r="S2" s="16" t="s">
        <v>241</v>
      </c>
      <c r="T2" s="16" t="s">
        <v>242</v>
      </c>
      <c r="U2" s="16" t="s">
        <v>131</v>
      </c>
      <c r="V2" s="16" t="s">
        <v>177</v>
      </c>
      <c r="W2" s="51" t="s">
        <v>243</v>
      </c>
      <c r="X2" s="61" t="s">
        <v>34</v>
      </c>
      <c r="Y2" s="61"/>
      <c r="Z2" s="61" t="s">
        <v>34</v>
      </c>
      <c r="AA2" s="61"/>
    </row>
    <row r="3" spans="1:27" s="55" customFormat="1" ht="31.15" customHeight="1" x14ac:dyDescent="0.3">
      <c r="A3" s="25">
        <v>2</v>
      </c>
      <c r="B3" s="25" t="s">
        <v>244</v>
      </c>
      <c r="C3" s="52" t="s">
        <v>245</v>
      </c>
      <c r="D3" s="25">
        <v>1</v>
      </c>
      <c r="E3" s="25">
        <v>4</v>
      </c>
      <c r="F3" s="25" t="s">
        <v>64</v>
      </c>
      <c r="G3" s="25" t="s">
        <v>190</v>
      </c>
      <c r="H3" s="25" t="s">
        <v>190</v>
      </c>
      <c r="I3" s="25" t="s">
        <v>191</v>
      </c>
      <c r="J3" s="25" t="s">
        <v>67</v>
      </c>
      <c r="K3" s="25" t="s">
        <v>67</v>
      </c>
      <c r="L3" s="25" t="s">
        <v>27</v>
      </c>
      <c r="M3" s="32" t="s">
        <v>192</v>
      </c>
      <c r="N3" s="27">
        <v>0.97019999999999995</v>
      </c>
      <c r="O3" s="31" t="s">
        <v>246</v>
      </c>
      <c r="P3" s="28" t="s">
        <v>247</v>
      </c>
      <c r="Q3" s="25" t="s">
        <v>196</v>
      </c>
      <c r="R3" s="25" t="s">
        <v>195</v>
      </c>
      <c r="S3" s="25" t="s">
        <v>241</v>
      </c>
      <c r="T3" s="25" t="s">
        <v>130</v>
      </c>
      <c r="U3" s="25" t="s">
        <v>248</v>
      </c>
      <c r="V3" s="25" t="s">
        <v>177</v>
      </c>
      <c r="W3" s="52" t="s">
        <v>249</v>
      </c>
      <c r="X3" s="62" t="s">
        <v>34</v>
      </c>
      <c r="Y3" s="62"/>
      <c r="Z3" s="62" t="s">
        <v>34</v>
      </c>
      <c r="AA3" s="62"/>
    </row>
    <row r="4" spans="1:27" ht="31.15" customHeight="1" x14ac:dyDescent="0.3">
      <c r="A4" s="16">
        <v>3</v>
      </c>
      <c r="B4" s="16" t="s">
        <v>250</v>
      </c>
      <c r="C4" s="51" t="s">
        <v>251</v>
      </c>
      <c r="D4" s="16">
        <v>1</v>
      </c>
      <c r="E4" s="16">
        <v>4</v>
      </c>
      <c r="F4" s="16" t="s">
        <v>64</v>
      </c>
      <c r="G4" s="16" t="s">
        <v>190</v>
      </c>
      <c r="H4" s="16" t="s">
        <v>190</v>
      </c>
      <c r="I4" s="16" t="s">
        <v>191</v>
      </c>
      <c r="J4" s="16" t="s">
        <v>67</v>
      </c>
      <c r="K4" s="16" t="s">
        <v>67</v>
      </c>
      <c r="L4" s="16" t="s">
        <v>27</v>
      </c>
      <c r="M4" s="20" t="s">
        <v>192</v>
      </c>
      <c r="N4" s="18">
        <v>0.97019999999999995</v>
      </c>
      <c r="O4" s="22" t="s">
        <v>246</v>
      </c>
      <c r="P4" s="19" t="s">
        <v>247</v>
      </c>
      <c r="Q4" s="16" t="s">
        <v>196</v>
      </c>
      <c r="R4" s="16" t="s">
        <v>195</v>
      </c>
      <c r="S4" s="16" t="s">
        <v>241</v>
      </c>
      <c r="T4" s="16" t="s">
        <v>130</v>
      </c>
      <c r="U4" s="16" t="s">
        <v>248</v>
      </c>
      <c r="V4" s="16" t="s">
        <v>177</v>
      </c>
      <c r="W4" s="51" t="s">
        <v>249</v>
      </c>
      <c r="X4" s="61" t="s">
        <v>34</v>
      </c>
      <c r="Y4" s="61" t="s">
        <v>34</v>
      </c>
      <c r="Z4" s="61" t="s">
        <v>34</v>
      </c>
      <c r="AA4" s="61"/>
    </row>
    <row r="5" spans="1:27" ht="31.15" customHeight="1" x14ac:dyDescent="0.3">
      <c r="A5" s="25">
        <v>4</v>
      </c>
      <c r="B5" s="25" t="s">
        <v>252</v>
      </c>
      <c r="C5" s="52" t="s">
        <v>253</v>
      </c>
      <c r="D5" s="25">
        <v>1</v>
      </c>
      <c r="E5" s="25">
        <v>4</v>
      </c>
      <c r="F5" s="25" t="s">
        <v>64</v>
      </c>
      <c r="G5" s="25" t="s">
        <v>190</v>
      </c>
      <c r="H5" s="25" t="s">
        <v>190</v>
      </c>
      <c r="I5" s="25" t="s">
        <v>191</v>
      </c>
      <c r="J5" s="25" t="s">
        <v>67</v>
      </c>
      <c r="K5" s="25" t="s">
        <v>67</v>
      </c>
      <c r="L5" s="25" t="s">
        <v>27</v>
      </c>
      <c r="M5" s="32" t="s">
        <v>192</v>
      </c>
      <c r="N5" s="27">
        <v>0.97019999999999995</v>
      </c>
      <c r="O5" s="31" t="s">
        <v>246</v>
      </c>
      <c r="P5" s="28" t="s">
        <v>247</v>
      </c>
      <c r="Q5" s="25" t="s">
        <v>196</v>
      </c>
      <c r="R5" s="25" t="s">
        <v>195</v>
      </c>
      <c r="S5" s="25" t="s">
        <v>254</v>
      </c>
      <c r="T5" s="25" t="s">
        <v>130</v>
      </c>
      <c r="U5" s="25" t="s">
        <v>255</v>
      </c>
      <c r="V5" s="25" t="s">
        <v>177</v>
      </c>
      <c r="W5" s="52" t="s">
        <v>249</v>
      </c>
      <c r="X5" s="62" t="s">
        <v>34</v>
      </c>
      <c r="Y5" s="62"/>
      <c r="Z5" s="62" t="s">
        <v>34</v>
      </c>
      <c r="AA5" s="62"/>
    </row>
    <row r="6" spans="1:27" ht="31.15" customHeight="1" x14ac:dyDescent="0.3">
      <c r="A6" s="16">
        <v>5</v>
      </c>
      <c r="B6" s="16" t="s">
        <v>256</v>
      </c>
      <c r="C6" s="51" t="s">
        <v>257</v>
      </c>
      <c r="D6" s="16">
        <v>1</v>
      </c>
      <c r="E6" s="16">
        <v>4</v>
      </c>
      <c r="F6" s="16" t="s">
        <v>64</v>
      </c>
      <c r="G6" s="16" t="s">
        <v>190</v>
      </c>
      <c r="H6" s="16" t="s">
        <v>190</v>
      </c>
      <c r="I6" s="16" t="s">
        <v>191</v>
      </c>
      <c r="J6" s="16" t="s">
        <v>67</v>
      </c>
      <c r="K6" s="16" t="s">
        <v>67</v>
      </c>
      <c r="L6" s="16" t="s">
        <v>27</v>
      </c>
      <c r="M6" s="20" t="s">
        <v>192</v>
      </c>
      <c r="N6" s="18">
        <v>0.97019999999999995</v>
      </c>
      <c r="O6" s="22" t="s">
        <v>246</v>
      </c>
      <c r="P6" s="19" t="s">
        <v>247</v>
      </c>
      <c r="Q6" s="16" t="s">
        <v>196</v>
      </c>
      <c r="R6" s="16" t="s">
        <v>195</v>
      </c>
      <c r="S6" s="16" t="s">
        <v>254</v>
      </c>
      <c r="T6" s="16" t="s">
        <v>130</v>
      </c>
      <c r="U6" s="16" t="s">
        <v>255</v>
      </c>
      <c r="V6" s="16" t="s">
        <v>177</v>
      </c>
      <c r="W6" s="51" t="s">
        <v>249</v>
      </c>
      <c r="X6" s="61" t="s">
        <v>34</v>
      </c>
      <c r="Y6" s="61"/>
      <c r="Z6" s="61" t="s">
        <v>34</v>
      </c>
      <c r="AA6" s="61"/>
    </row>
    <row r="7" spans="1:27" s="56" customFormat="1" ht="33" x14ac:dyDescent="0.3">
      <c r="A7" s="25">
        <v>6</v>
      </c>
      <c r="B7" s="25" t="s">
        <v>258</v>
      </c>
      <c r="C7" s="52" t="s">
        <v>259</v>
      </c>
      <c r="D7" s="25">
        <v>1</v>
      </c>
      <c r="E7" s="25">
        <v>4</v>
      </c>
      <c r="F7" s="25" t="s">
        <v>64</v>
      </c>
      <c r="G7" s="25" t="s">
        <v>190</v>
      </c>
      <c r="H7" s="25" t="s">
        <v>190</v>
      </c>
      <c r="I7" s="25" t="s">
        <v>191</v>
      </c>
      <c r="J7" s="25" t="s">
        <v>67</v>
      </c>
      <c r="K7" s="25" t="s">
        <v>67</v>
      </c>
      <c r="L7" s="25" t="s">
        <v>27</v>
      </c>
      <c r="M7" s="32" t="s">
        <v>192</v>
      </c>
      <c r="N7" s="27">
        <v>0.97109999999999996</v>
      </c>
      <c r="O7" s="31" t="s">
        <v>161</v>
      </c>
      <c r="P7" s="31" t="s">
        <v>260</v>
      </c>
      <c r="Q7" s="25" t="s">
        <v>196</v>
      </c>
      <c r="R7" s="25" t="s">
        <v>195</v>
      </c>
      <c r="S7" s="25" t="s">
        <v>261</v>
      </c>
      <c r="T7" s="25" t="s">
        <v>130</v>
      </c>
      <c r="U7" s="25" t="s">
        <v>262</v>
      </c>
      <c r="V7" s="25" t="s">
        <v>177</v>
      </c>
      <c r="W7" s="52" t="s">
        <v>249</v>
      </c>
      <c r="X7" s="62" t="s">
        <v>34</v>
      </c>
      <c r="Y7" s="62" t="s">
        <v>34</v>
      </c>
      <c r="Z7" s="62" t="s">
        <v>34</v>
      </c>
      <c r="AA7" s="62"/>
    </row>
    <row r="8" spans="1:27" s="56" customFormat="1" ht="31.15" customHeight="1" x14ac:dyDescent="0.3">
      <c r="A8" s="16">
        <v>7</v>
      </c>
      <c r="B8" s="16" t="s">
        <v>263</v>
      </c>
      <c r="C8" s="51" t="s">
        <v>264</v>
      </c>
      <c r="D8" s="16">
        <v>1</v>
      </c>
      <c r="E8" s="16">
        <v>4</v>
      </c>
      <c r="F8" s="16" t="s">
        <v>64</v>
      </c>
      <c r="G8" s="16" t="s">
        <v>190</v>
      </c>
      <c r="H8" s="16" t="s">
        <v>190</v>
      </c>
      <c r="I8" s="16" t="s">
        <v>191</v>
      </c>
      <c r="J8" s="16" t="s">
        <v>67</v>
      </c>
      <c r="K8" s="16" t="s">
        <v>67</v>
      </c>
      <c r="L8" s="16" t="s">
        <v>27</v>
      </c>
      <c r="M8" s="20" t="s">
        <v>192</v>
      </c>
      <c r="N8" s="18">
        <v>0.97040000000000004</v>
      </c>
      <c r="O8" s="22" t="s">
        <v>265</v>
      </c>
      <c r="P8" s="22" t="s">
        <v>266</v>
      </c>
      <c r="Q8" s="16" t="s">
        <v>196</v>
      </c>
      <c r="R8" s="16" t="s">
        <v>195</v>
      </c>
      <c r="S8" s="16" t="s">
        <v>241</v>
      </c>
      <c r="T8" s="16" t="s">
        <v>130</v>
      </c>
      <c r="U8" s="16" t="s">
        <v>248</v>
      </c>
      <c r="V8" s="16" t="s">
        <v>177</v>
      </c>
      <c r="W8" s="35" t="s">
        <v>249</v>
      </c>
      <c r="X8" s="61" t="s">
        <v>34</v>
      </c>
      <c r="Y8" s="61" t="s">
        <v>34</v>
      </c>
      <c r="Z8" s="61" t="s">
        <v>34</v>
      </c>
      <c r="AA8" s="61"/>
    </row>
    <row r="9" spans="1:27" s="56" customFormat="1" ht="31.15" customHeight="1" x14ac:dyDescent="0.3">
      <c r="A9" s="25">
        <v>8</v>
      </c>
      <c r="B9" s="25" t="s">
        <v>267</v>
      </c>
      <c r="C9" s="52" t="s">
        <v>268</v>
      </c>
      <c r="D9" s="25">
        <v>1</v>
      </c>
      <c r="E9" s="25">
        <v>4</v>
      </c>
      <c r="F9" s="25" t="s">
        <v>64</v>
      </c>
      <c r="G9" s="25" t="s">
        <v>190</v>
      </c>
      <c r="H9" s="25" t="s">
        <v>190</v>
      </c>
      <c r="I9" s="25" t="s">
        <v>191</v>
      </c>
      <c r="J9" s="25" t="s">
        <v>67</v>
      </c>
      <c r="K9" s="25" t="s">
        <v>67</v>
      </c>
      <c r="L9" s="25" t="s">
        <v>27</v>
      </c>
      <c r="M9" s="32" t="s">
        <v>192</v>
      </c>
      <c r="N9" s="27">
        <v>0.97040000000000004</v>
      </c>
      <c r="O9" s="31" t="s">
        <v>265</v>
      </c>
      <c r="P9" s="31" t="s">
        <v>266</v>
      </c>
      <c r="Q9" s="25" t="s">
        <v>196</v>
      </c>
      <c r="R9" s="25" t="s">
        <v>195</v>
      </c>
      <c r="S9" s="25" t="s">
        <v>241</v>
      </c>
      <c r="T9" s="25" t="s">
        <v>130</v>
      </c>
      <c r="U9" s="25" t="s">
        <v>248</v>
      </c>
      <c r="V9" s="25" t="s">
        <v>177</v>
      </c>
      <c r="W9" s="38" t="s">
        <v>249</v>
      </c>
      <c r="X9" s="62" t="s">
        <v>34</v>
      </c>
      <c r="Y9" s="62"/>
      <c r="Z9" s="62" t="s">
        <v>34</v>
      </c>
      <c r="AA9" s="62"/>
    </row>
    <row r="10" spans="1:27" s="56" customFormat="1" ht="31.15" customHeight="1" x14ac:dyDescent="0.3">
      <c r="A10" s="16">
        <v>9</v>
      </c>
      <c r="B10" s="16" t="s">
        <v>269</v>
      </c>
      <c r="C10" s="51" t="s">
        <v>270</v>
      </c>
      <c r="D10" s="16">
        <v>1</v>
      </c>
      <c r="E10" s="16">
        <v>4</v>
      </c>
      <c r="F10" s="16" t="s">
        <v>64</v>
      </c>
      <c r="G10" s="16" t="s">
        <v>190</v>
      </c>
      <c r="H10" s="16" t="s">
        <v>190</v>
      </c>
      <c r="I10" s="16" t="s">
        <v>191</v>
      </c>
      <c r="J10" s="16" t="s">
        <v>67</v>
      </c>
      <c r="K10" s="16" t="s">
        <v>67</v>
      </c>
      <c r="L10" s="16" t="s">
        <v>27</v>
      </c>
      <c r="M10" s="20" t="s">
        <v>192</v>
      </c>
      <c r="N10" s="18">
        <v>0.97040000000000004</v>
      </c>
      <c r="O10" s="22" t="s">
        <v>265</v>
      </c>
      <c r="P10" s="22" t="s">
        <v>266</v>
      </c>
      <c r="Q10" s="16" t="s">
        <v>196</v>
      </c>
      <c r="R10" s="16" t="s">
        <v>195</v>
      </c>
      <c r="S10" s="16" t="s">
        <v>254</v>
      </c>
      <c r="T10" s="16" t="s">
        <v>130</v>
      </c>
      <c r="U10" s="16" t="s">
        <v>255</v>
      </c>
      <c r="V10" s="16" t="s">
        <v>177</v>
      </c>
      <c r="W10" s="35" t="s">
        <v>249</v>
      </c>
      <c r="X10" s="61" t="s">
        <v>34</v>
      </c>
      <c r="Y10" s="61"/>
      <c r="Z10" s="61" t="s">
        <v>34</v>
      </c>
      <c r="AA10" s="61"/>
    </row>
    <row r="11" spans="1:27" s="56" customFormat="1" ht="31.15" customHeight="1" x14ac:dyDescent="0.3">
      <c r="A11" s="25">
        <v>10</v>
      </c>
      <c r="B11" s="25" t="s">
        <v>271</v>
      </c>
      <c r="C11" s="52" t="s">
        <v>272</v>
      </c>
      <c r="D11" s="25">
        <v>1</v>
      </c>
      <c r="E11" s="25">
        <v>4</v>
      </c>
      <c r="F11" s="25" t="s">
        <v>64</v>
      </c>
      <c r="G11" s="25" t="s">
        <v>190</v>
      </c>
      <c r="H11" s="25" t="s">
        <v>190</v>
      </c>
      <c r="I11" s="25" t="s">
        <v>191</v>
      </c>
      <c r="J11" s="25" t="s">
        <v>67</v>
      </c>
      <c r="K11" s="25" t="s">
        <v>67</v>
      </c>
      <c r="L11" s="25" t="s">
        <v>27</v>
      </c>
      <c r="M11" s="32" t="s">
        <v>192</v>
      </c>
      <c r="N11" s="27">
        <v>0.97040000000000004</v>
      </c>
      <c r="O11" s="31" t="s">
        <v>265</v>
      </c>
      <c r="P11" s="31" t="s">
        <v>266</v>
      </c>
      <c r="Q11" s="25" t="s">
        <v>196</v>
      </c>
      <c r="R11" s="25" t="s">
        <v>195</v>
      </c>
      <c r="S11" s="25" t="s">
        <v>254</v>
      </c>
      <c r="T11" s="25" t="s">
        <v>130</v>
      </c>
      <c r="U11" s="25" t="s">
        <v>255</v>
      </c>
      <c r="V11" s="25" t="s">
        <v>177</v>
      </c>
      <c r="W11" s="38" t="s">
        <v>249</v>
      </c>
      <c r="X11" s="62" t="s">
        <v>34</v>
      </c>
      <c r="Y11" s="62"/>
      <c r="Z11" s="62" t="s">
        <v>34</v>
      </c>
      <c r="AA11" s="62"/>
    </row>
    <row r="12" spans="1:27" ht="33" x14ac:dyDescent="0.3">
      <c r="A12" s="16">
        <v>11</v>
      </c>
      <c r="B12" s="16" t="s">
        <v>273</v>
      </c>
      <c r="C12" s="51" t="s">
        <v>274</v>
      </c>
      <c r="D12" s="16">
        <v>1</v>
      </c>
      <c r="E12" s="16">
        <v>4</v>
      </c>
      <c r="F12" s="16" t="s">
        <v>64</v>
      </c>
      <c r="G12" s="16" t="s">
        <v>190</v>
      </c>
      <c r="H12" s="16" t="s">
        <v>190</v>
      </c>
      <c r="I12" s="16" t="s">
        <v>191</v>
      </c>
      <c r="J12" s="16" t="s">
        <v>67</v>
      </c>
      <c r="K12" s="16" t="s">
        <v>67</v>
      </c>
      <c r="L12" s="16" t="s">
        <v>68</v>
      </c>
      <c r="M12" s="20" t="s">
        <v>192</v>
      </c>
      <c r="N12" s="18">
        <v>0.97099999999999997</v>
      </c>
      <c r="O12" s="22" t="s">
        <v>275</v>
      </c>
      <c r="P12" s="22" t="s">
        <v>276</v>
      </c>
      <c r="Q12" s="16" t="s">
        <v>196</v>
      </c>
      <c r="R12" s="16" t="s">
        <v>195</v>
      </c>
      <c r="S12" s="16" t="s">
        <v>277</v>
      </c>
      <c r="T12" s="16" t="s">
        <v>130</v>
      </c>
      <c r="U12" s="16" t="s">
        <v>278</v>
      </c>
      <c r="V12" s="16" t="s">
        <v>198</v>
      </c>
      <c r="W12" s="35" t="s">
        <v>249</v>
      </c>
      <c r="X12" s="61" t="s">
        <v>34</v>
      </c>
      <c r="Y12" s="61" t="s">
        <v>34</v>
      </c>
      <c r="Z12" s="61" t="s">
        <v>34</v>
      </c>
      <c r="AA12" s="61"/>
    </row>
    <row r="13" spans="1:27" ht="33" x14ac:dyDescent="0.3">
      <c r="A13" s="25">
        <v>12</v>
      </c>
      <c r="B13" s="25" t="s">
        <v>279</v>
      </c>
      <c r="C13" s="52" t="s">
        <v>280</v>
      </c>
      <c r="D13" s="25">
        <v>1</v>
      </c>
      <c r="E13" s="25">
        <v>4</v>
      </c>
      <c r="F13" s="25" t="s">
        <v>64</v>
      </c>
      <c r="G13" s="25" t="s">
        <v>190</v>
      </c>
      <c r="H13" s="25" t="s">
        <v>190</v>
      </c>
      <c r="I13" s="25" t="s">
        <v>191</v>
      </c>
      <c r="J13" s="25" t="s">
        <v>67</v>
      </c>
      <c r="K13" s="25" t="s">
        <v>67</v>
      </c>
      <c r="L13" s="25" t="s">
        <v>68</v>
      </c>
      <c r="M13" s="32" t="s">
        <v>192</v>
      </c>
      <c r="N13" s="27">
        <v>0.97099999999999997</v>
      </c>
      <c r="O13" s="31" t="s">
        <v>275</v>
      </c>
      <c r="P13" s="31" t="s">
        <v>276</v>
      </c>
      <c r="Q13" s="25" t="s">
        <v>196</v>
      </c>
      <c r="R13" s="25" t="s">
        <v>195</v>
      </c>
      <c r="S13" s="25" t="s">
        <v>241</v>
      </c>
      <c r="T13" s="25" t="s">
        <v>130</v>
      </c>
      <c r="U13" s="25" t="s">
        <v>278</v>
      </c>
      <c r="V13" s="25" t="s">
        <v>198</v>
      </c>
      <c r="W13" s="38" t="s">
        <v>249</v>
      </c>
      <c r="X13" s="62" t="s">
        <v>34</v>
      </c>
      <c r="Y13" s="62" t="s">
        <v>34</v>
      </c>
      <c r="Z13" s="62" t="s">
        <v>34</v>
      </c>
      <c r="AA13" s="62"/>
    </row>
    <row r="14" spans="1:27" ht="33" x14ac:dyDescent="0.3">
      <c r="A14" s="16">
        <v>13</v>
      </c>
      <c r="B14" s="16" t="s">
        <v>281</v>
      </c>
      <c r="C14" s="51" t="s">
        <v>282</v>
      </c>
      <c r="D14" s="16">
        <v>1</v>
      </c>
      <c r="E14" s="16">
        <v>4</v>
      </c>
      <c r="F14" s="16" t="s">
        <v>64</v>
      </c>
      <c r="G14" s="16" t="s">
        <v>190</v>
      </c>
      <c r="H14" s="16" t="s">
        <v>190</v>
      </c>
      <c r="I14" s="16" t="s">
        <v>191</v>
      </c>
      <c r="J14" s="16" t="s">
        <v>67</v>
      </c>
      <c r="K14" s="16" t="s">
        <v>67</v>
      </c>
      <c r="L14" s="16" t="s">
        <v>68</v>
      </c>
      <c r="M14" s="20" t="s">
        <v>192</v>
      </c>
      <c r="N14" s="18">
        <v>0.97099999999999997</v>
      </c>
      <c r="O14" s="22" t="s">
        <v>275</v>
      </c>
      <c r="P14" s="22" t="s">
        <v>276</v>
      </c>
      <c r="Q14" s="16" t="s">
        <v>196</v>
      </c>
      <c r="R14" s="16" t="s">
        <v>195</v>
      </c>
      <c r="S14" s="16" t="s">
        <v>283</v>
      </c>
      <c r="T14" s="16" t="s">
        <v>130</v>
      </c>
      <c r="U14" s="16" t="s">
        <v>203</v>
      </c>
      <c r="V14" s="16" t="s">
        <v>198</v>
      </c>
      <c r="W14" s="35" t="s">
        <v>249</v>
      </c>
      <c r="X14" s="61" t="s">
        <v>34</v>
      </c>
      <c r="Y14" s="61" t="s">
        <v>34</v>
      </c>
      <c r="Z14" s="61" t="s">
        <v>34</v>
      </c>
      <c r="AA14" s="61"/>
    </row>
    <row r="15" spans="1:27" ht="33" x14ac:dyDescent="0.3">
      <c r="A15" s="25">
        <v>14</v>
      </c>
      <c r="B15" s="25" t="s">
        <v>284</v>
      </c>
      <c r="C15" s="52" t="s">
        <v>285</v>
      </c>
      <c r="D15" s="25">
        <v>1</v>
      </c>
      <c r="E15" s="25">
        <v>4</v>
      </c>
      <c r="F15" s="25" t="s">
        <v>64</v>
      </c>
      <c r="G15" s="25" t="s">
        <v>190</v>
      </c>
      <c r="H15" s="25" t="s">
        <v>190</v>
      </c>
      <c r="I15" s="25" t="s">
        <v>191</v>
      </c>
      <c r="J15" s="25" t="s">
        <v>67</v>
      </c>
      <c r="K15" s="25" t="s">
        <v>67</v>
      </c>
      <c r="L15" s="25" t="s">
        <v>68</v>
      </c>
      <c r="M15" s="32" t="s">
        <v>192</v>
      </c>
      <c r="N15" s="27">
        <v>0.97099999999999997</v>
      </c>
      <c r="O15" s="31" t="s">
        <v>275</v>
      </c>
      <c r="P15" s="31" t="s">
        <v>276</v>
      </c>
      <c r="Q15" s="25" t="s">
        <v>196</v>
      </c>
      <c r="R15" s="25" t="s">
        <v>195</v>
      </c>
      <c r="S15" s="25" t="s">
        <v>286</v>
      </c>
      <c r="T15" s="25" t="s">
        <v>130</v>
      </c>
      <c r="U15" s="25" t="s">
        <v>203</v>
      </c>
      <c r="V15" s="25" t="s">
        <v>198</v>
      </c>
      <c r="W15" s="38" t="s">
        <v>249</v>
      </c>
      <c r="X15" s="62" t="s">
        <v>34</v>
      </c>
      <c r="Y15" s="62" t="s">
        <v>34</v>
      </c>
      <c r="Z15" s="62" t="s">
        <v>34</v>
      </c>
      <c r="AA15" s="62"/>
    </row>
    <row r="16" spans="1:27" ht="33" x14ac:dyDescent="0.3">
      <c r="A16" s="16">
        <v>15</v>
      </c>
      <c r="B16" s="16" t="s">
        <v>287</v>
      </c>
      <c r="C16" s="51" t="s">
        <v>288</v>
      </c>
      <c r="D16" s="16">
        <v>1</v>
      </c>
      <c r="E16" s="16">
        <v>4</v>
      </c>
      <c r="F16" s="16" t="s">
        <v>64</v>
      </c>
      <c r="G16" s="16" t="s">
        <v>190</v>
      </c>
      <c r="H16" s="16" t="s">
        <v>190</v>
      </c>
      <c r="I16" s="16" t="s">
        <v>191</v>
      </c>
      <c r="J16" s="16" t="s">
        <v>67</v>
      </c>
      <c r="K16" s="16" t="s">
        <v>67</v>
      </c>
      <c r="L16" s="16" t="s">
        <v>68</v>
      </c>
      <c r="M16" s="20" t="s">
        <v>192</v>
      </c>
      <c r="N16" s="18">
        <v>0.97099999999999997</v>
      </c>
      <c r="O16" s="22" t="s">
        <v>275</v>
      </c>
      <c r="P16" s="22" t="s">
        <v>276</v>
      </c>
      <c r="Q16" s="16" t="s">
        <v>196</v>
      </c>
      <c r="R16" s="16" t="s">
        <v>195</v>
      </c>
      <c r="S16" s="16" t="s">
        <v>289</v>
      </c>
      <c r="T16" s="16" t="s">
        <v>130</v>
      </c>
      <c r="U16" s="16" t="s">
        <v>203</v>
      </c>
      <c r="V16" s="16" t="s">
        <v>198</v>
      </c>
      <c r="W16" s="35" t="s">
        <v>249</v>
      </c>
      <c r="X16" s="61" t="s">
        <v>34</v>
      </c>
      <c r="Y16" s="61" t="s">
        <v>34</v>
      </c>
      <c r="Z16" s="61" t="s">
        <v>34</v>
      </c>
      <c r="AA16" s="61" t="s">
        <v>34</v>
      </c>
    </row>
    <row r="17" spans="1:27" ht="33" x14ac:dyDescent="0.3">
      <c r="A17" s="25">
        <v>16</v>
      </c>
      <c r="B17" s="25" t="s">
        <v>290</v>
      </c>
      <c r="C17" s="52" t="s">
        <v>291</v>
      </c>
      <c r="D17" s="25">
        <v>1</v>
      </c>
      <c r="E17" s="25">
        <v>4</v>
      </c>
      <c r="F17" s="25" t="s">
        <v>64</v>
      </c>
      <c r="G17" s="25" t="s">
        <v>190</v>
      </c>
      <c r="H17" s="25" t="s">
        <v>190</v>
      </c>
      <c r="I17" s="25" t="s">
        <v>191</v>
      </c>
      <c r="J17" s="25" t="s">
        <v>67</v>
      </c>
      <c r="K17" s="25" t="s">
        <v>67</v>
      </c>
      <c r="L17" s="25" t="s">
        <v>68</v>
      </c>
      <c r="M17" s="32" t="s">
        <v>192</v>
      </c>
      <c r="N17" s="27">
        <v>0.97099999999999997</v>
      </c>
      <c r="O17" s="31" t="s">
        <v>275</v>
      </c>
      <c r="P17" s="31" t="s">
        <v>276</v>
      </c>
      <c r="Q17" s="25" t="s">
        <v>196</v>
      </c>
      <c r="R17" s="25" t="s">
        <v>195</v>
      </c>
      <c r="S17" s="25" t="s">
        <v>292</v>
      </c>
      <c r="T17" s="25" t="s">
        <v>130</v>
      </c>
      <c r="U17" s="25" t="s">
        <v>203</v>
      </c>
      <c r="V17" s="25" t="s">
        <v>198</v>
      </c>
      <c r="W17" s="38" t="s">
        <v>249</v>
      </c>
      <c r="X17" s="62" t="s">
        <v>34</v>
      </c>
      <c r="Y17" s="62" t="s">
        <v>34</v>
      </c>
      <c r="Z17" s="62" t="s">
        <v>34</v>
      </c>
      <c r="AA17" s="62"/>
    </row>
    <row r="18" spans="1:27" ht="66" x14ac:dyDescent="0.3">
      <c r="A18" s="16">
        <v>17</v>
      </c>
      <c r="B18" s="16" t="s">
        <v>293</v>
      </c>
      <c r="C18" s="51" t="s">
        <v>294</v>
      </c>
      <c r="D18" s="16">
        <v>1</v>
      </c>
      <c r="E18" s="16">
        <v>4</v>
      </c>
      <c r="F18" s="16" t="s">
        <v>64</v>
      </c>
      <c r="G18" s="16" t="s">
        <v>190</v>
      </c>
      <c r="H18" s="16" t="s">
        <v>190</v>
      </c>
      <c r="I18" s="16" t="s">
        <v>191</v>
      </c>
      <c r="J18" s="16" t="s">
        <v>24</v>
      </c>
      <c r="K18" s="16" t="s">
        <v>67</v>
      </c>
      <c r="L18" s="16" t="s">
        <v>68</v>
      </c>
      <c r="M18" s="20" t="s">
        <v>192</v>
      </c>
      <c r="N18" s="18">
        <v>0.97499999999999998</v>
      </c>
      <c r="O18" s="22" t="s">
        <v>295</v>
      </c>
      <c r="P18" s="22" t="s">
        <v>296</v>
      </c>
      <c r="Q18" s="16" t="s">
        <v>297</v>
      </c>
      <c r="R18" s="16" t="s">
        <v>195</v>
      </c>
      <c r="S18" s="16" t="s">
        <v>298</v>
      </c>
      <c r="T18" s="16" t="s">
        <v>130</v>
      </c>
      <c r="U18" s="16" t="s">
        <v>262</v>
      </c>
      <c r="V18" s="16" t="s">
        <v>198</v>
      </c>
      <c r="W18" s="35" t="s">
        <v>72</v>
      </c>
      <c r="X18" s="61" t="s">
        <v>34</v>
      </c>
      <c r="Y18" s="61"/>
      <c r="Z18" s="61" t="s">
        <v>34</v>
      </c>
      <c r="AA18" s="61"/>
    </row>
    <row r="19" spans="1:27" ht="66" x14ac:dyDescent="0.3">
      <c r="A19" s="25">
        <v>18</v>
      </c>
      <c r="B19" s="25" t="s">
        <v>299</v>
      </c>
      <c r="C19" s="52" t="s">
        <v>300</v>
      </c>
      <c r="D19" s="25">
        <v>1</v>
      </c>
      <c r="E19" s="25">
        <v>4</v>
      </c>
      <c r="F19" s="25" t="s">
        <v>64</v>
      </c>
      <c r="G19" s="25" t="s">
        <v>190</v>
      </c>
      <c r="H19" s="25" t="s">
        <v>190</v>
      </c>
      <c r="I19" s="25" t="s">
        <v>191</v>
      </c>
      <c r="J19" s="25" t="s">
        <v>24</v>
      </c>
      <c r="K19" s="25" t="s">
        <v>67</v>
      </c>
      <c r="L19" s="25" t="s">
        <v>68</v>
      </c>
      <c r="M19" s="32" t="s">
        <v>192</v>
      </c>
      <c r="N19" s="27">
        <v>0.97499999999999998</v>
      </c>
      <c r="O19" s="31" t="s">
        <v>295</v>
      </c>
      <c r="P19" s="31" t="s">
        <v>296</v>
      </c>
      <c r="Q19" s="25" t="s">
        <v>297</v>
      </c>
      <c r="R19" s="25" t="s">
        <v>195</v>
      </c>
      <c r="S19" s="25" t="s">
        <v>277</v>
      </c>
      <c r="T19" s="25" t="s">
        <v>130</v>
      </c>
      <c r="U19" s="25" t="s">
        <v>262</v>
      </c>
      <c r="V19" s="25" t="s">
        <v>198</v>
      </c>
      <c r="W19" s="38" t="s">
        <v>72</v>
      </c>
      <c r="X19" s="62" t="s">
        <v>34</v>
      </c>
      <c r="Y19" s="62"/>
      <c r="Z19" s="62" t="s">
        <v>34</v>
      </c>
      <c r="AA19" s="62"/>
    </row>
    <row r="20" spans="1:27" ht="66" x14ac:dyDescent="0.3">
      <c r="A20" s="16">
        <v>19</v>
      </c>
      <c r="B20" s="16" t="s">
        <v>301</v>
      </c>
      <c r="C20" s="51" t="s">
        <v>302</v>
      </c>
      <c r="D20" s="16">
        <v>1</v>
      </c>
      <c r="E20" s="16">
        <v>4</v>
      </c>
      <c r="F20" s="16" t="s">
        <v>64</v>
      </c>
      <c r="G20" s="16" t="s">
        <v>190</v>
      </c>
      <c r="H20" s="16" t="s">
        <v>190</v>
      </c>
      <c r="I20" s="16" t="s">
        <v>191</v>
      </c>
      <c r="J20" s="16" t="s">
        <v>24</v>
      </c>
      <c r="K20" s="16" t="s">
        <v>67</v>
      </c>
      <c r="L20" s="16" t="s">
        <v>68</v>
      </c>
      <c r="M20" s="20" t="s">
        <v>192</v>
      </c>
      <c r="N20" s="18">
        <v>0.97499999999999998</v>
      </c>
      <c r="O20" s="22" t="s">
        <v>295</v>
      </c>
      <c r="P20" s="22" t="s">
        <v>296</v>
      </c>
      <c r="Q20" s="16" t="s">
        <v>297</v>
      </c>
      <c r="R20" s="16" t="s">
        <v>195</v>
      </c>
      <c r="S20" s="16" t="s">
        <v>261</v>
      </c>
      <c r="T20" s="16" t="s">
        <v>130</v>
      </c>
      <c r="U20" s="16" t="s">
        <v>262</v>
      </c>
      <c r="V20" s="16" t="s">
        <v>198</v>
      </c>
      <c r="W20" s="35" t="s">
        <v>72</v>
      </c>
      <c r="X20" s="61" t="s">
        <v>34</v>
      </c>
      <c r="Y20" s="61"/>
      <c r="Z20" s="61" t="s">
        <v>34</v>
      </c>
      <c r="AA20" s="61"/>
    </row>
    <row r="21" spans="1:27" ht="66" x14ac:dyDescent="0.3">
      <c r="A21" s="25">
        <v>20</v>
      </c>
      <c r="B21" s="25" t="s">
        <v>303</v>
      </c>
      <c r="C21" s="52" t="s">
        <v>304</v>
      </c>
      <c r="D21" s="25">
        <v>1</v>
      </c>
      <c r="E21" s="25">
        <v>4</v>
      </c>
      <c r="F21" s="25" t="s">
        <v>64</v>
      </c>
      <c r="G21" s="25" t="s">
        <v>190</v>
      </c>
      <c r="H21" s="25" t="s">
        <v>190</v>
      </c>
      <c r="I21" s="25" t="s">
        <v>191</v>
      </c>
      <c r="J21" s="25" t="s">
        <v>24</v>
      </c>
      <c r="K21" s="25" t="s">
        <v>67</v>
      </c>
      <c r="L21" s="25" t="s">
        <v>68</v>
      </c>
      <c r="M21" s="32" t="s">
        <v>192</v>
      </c>
      <c r="N21" s="27">
        <v>0.97499999999999998</v>
      </c>
      <c r="O21" s="31" t="s">
        <v>295</v>
      </c>
      <c r="P21" s="31" t="s">
        <v>296</v>
      </c>
      <c r="Q21" s="25" t="s">
        <v>297</v>
      </c>
      <c r="R21" s="25" t="s">
        <v>195</v>
      </c>
      <c r="S21" s="25" t="s">
        <v>241</v>
      </c>
      <c r="T21" s="25" t="s">
        <v>130</v>
      </c>
      <c r="U21" s="25" t="s">
        <v>262</v>
      </c>
      <c r="V21" s="25" t="s">
        <v>198</v>
      </c>
      <c r="W21" s="38" t="s">
        <v>72</v>
      </c>
      <c r="X21" s="62" t="s">
        <v>34</v>
      </c>
      <c r="Y21" s="62"/>
      <c r="Z21" s="62" t="s">
        <v>34</v>
      </c>
      <c r="AA21" s="62"/>
    </row>
    <row r="22" spans="1:27" ht="66" x14ac:dyDescent="0.3">
      <c r="A22" s="16">
        <v>21</v>
      </c>
      <c r="B22" s="16" t="s">
        <v>305</v>
      </c>
      <c r="C22" s="51" t="s">
        <v>306</v>
      </c>
      <c r="D22" s="16">
        <v>1</v>
      </c>
      <c r="E22" s="16">
        <v>3</v>
      </c>
      <c r="F22" s="16" t="s">
        <v>64</v>
      </c>
      <c r="G22" s="16" t="s">
        <v>190</v>
      </c>
      <c r="H22" s="16" t="s">
        <v>190</v>
      </c>
      <c r="I22" s="16" t="s">
        <v>191</v>
      </c>
      <c r="J22" s="16" t="s">
        <v>24</v>
      </c>
      <c r="K22" s="16" t="s">
        <v>67</v>
      </c>
      <c r="L22" s="16" t="s">
        <v>68</v>
      </c>
      <c r="M22" s="20" t="s">
        <v>192</v>
      </c>
      <c r="N22" s="18">
        <v>0.97499999999999998</v>
      </c>
      <c r="O22" s="22" t="s">
        <v>295</v>
      </c>
      <c r="P22" s="22" t="s">
        <v>296</v>
      </c>
      <c r="Q22" s="16" t="s">
        <v>297</v>
      </c>
      <c r="R22" s="16" t="s">
        <v>195</v>
      </c>
      <c r="S22" s="16" t="s">
        <v>283</v>
      </c>
      <c r="T22" s="16" t="s">
        <v>130</v>
      </c>
      <c r="U22" s="16" t="s">
        <v>262</v>
      </c>
      <c r="V22" s="16" t="s">
        <v>198</v>
      </c>
      <c r="W22" s="35" t="s">
        <v>72</v>
      </c>
      <c r="X22" s="61" t="s">
        <v>34</v>
      </c>
      <c r="Y22" s="61"/>
      <c r="Z22" s="61" t="s">
        <v>34</v>
      </c>
      <c r="AA22" s="61"/>
    </row>
    <row r="23" spans="1:27" ht="49.5" x14ac:dyDescent="0.3">
      <c r="A23" s="25">
        <v>22</v>
      </c>
      <c r="B23" s="25" t="s">
        <v>307</v>
      </c>
      <c r="C23" s="52" t="s">
        <v>308</v>
      </c>
      <c r="D23" s="25">
        <v>1</v>
      </c>
      <c r="E23" s="25">
        <v>3</v>
      </c>
      <c r="F23" s="25" t="s">
        <v>64</v>
      </c>
      <c r="G23" s="25" t="s">
        <v>190</v>
      </c>
      <c r="H23" s="25" t="s">
        <v>190</v>
      </c>
      <c r="I23" s="25" t="s">
        <v>191</v>
      </c>
      <c r="J23" s="25" t="s">
        <v>24</v>
      </c>
      <c r="K23" s="25" t="s">
        <v>67</v>
      </c>
      <c r="L23" s="25" t="s">
        <v>68</v>
      </c>
      <c r="M23" s="32" t="s">
        <v>192</v>
      </c>
      <c r="N23" s="27">
        <v>0.97499999999999998</v>
      </c>
      <c r="O23" s="31" t="s">
        <v>295</v>
      </c>
      <c r="P23" s="31" t="s">
        <v>296</v>
      </c>
      <c r="Q23" s="25" t="s">
        <v>297</v>
      </c>
      <c r="R23" s="25" t="s">
        <v>195</v>
      </c>
      <c r="S23" s="25" t="s">
        <v>286</v>
      </c>
      <c r="T23" s="25" t="s">
        <v>130</v>
      </c>
      <c r="U23" s="25" t="s">
        <v>262</v>
      </c>
      <c r="V23" s="25" t="s">
        <v>198</v>
      </c>
      <c r="W23" s="38" t="s">
        <v>72</v>
      </c>
      <c r="X23" s="62" t="s">
        <v>34</v>
      </c>
      <c r="Y23" s="62"/>
      <c r="Z23" s="62" t="s">
        <v>34</v>
      </c>
      <c r="AA23" s="62"/>
    </row>
    <row r="24" spans="1:27" ht="49.5" x14ac:dyDescent="0.3">
      <c r="A24" s="16">
        <v>23</v>
      </c>
      <c r="B24" s="16" t="s">
        <v>309</v>
      </c>
      <c r="C24" s="51" t="s">
        <v>310</v>
      </c>
      <c r="D24" s="16">
        <v>1</v>
      </c>
      <c r="E24" s="16">
        <v>2</v>
      </c>
      <c r="F24" s="16" t="s">
        <v>64</v>
      </c>
      <c r="G24" s="16" t="s">
        <v>190</v>
      </c>
      <c r="H24" s="16" t="s">
        <v>190</v>
      </c>
      <c r="I24" s="16" t="s">
        <v>191</v>
      </c>
      <c r="J24" s="16" t="s">
        <v>24</v>
      </c>
      <c r="K24" s="16" t="s">
        <v>67</v>
      </c>
      <c r="L24" s="16" t="s">
        <v>68</v>
      </c>
      <c r="M24" s="20" t="s">
        <v>192</v>
      </c>
      <c r="N24" s="18">
        <v>0.97499999999999998</v>
      </c>
      <c r="O24" s="22" t="s">
        <v>295</v>
      </c>
      <c r="P24" s="22" t="s">
        <v>296</v>
      </c>
      <c r="Q24" s="16" t="s">
        <v>297</v>
      </c>
      <c r="R24" s="16" t="s">
        <v>195</v>
      </c>
      <c r="S24" s="16" t="s">
        <v>289</v>
      </c>
      <c r="T24" s="16" t="s">
        <v>130</v>
      </c>
      <c r="U24" s="16" t="s">
        <v>262</v>
      </c>
      <c r="V24" s="16" t="s">
        <v>198</v>
      </c>
      <c r="W24" s="35" t="s">
        <v>72</v>
      </c>
      <c r="X24" s="61" t="s">
        <v>34</v>
      </c>
      <c r="Y24" s="61"/>
      <c r="Z24" s="61" t="s">
        <v>34</v>
      </c>
      <c r="AA24" s="61"/>
    </row>
    <row r="25" spans="1:27" ht="33" x14ac:dyDescent="0.3">
      <c r="A25" s="25">
        <v>24</v>
      </c>
      <c r="B25" s="25" t="s">
        <v>311</v>
      </c>
      <c r="C25" s="52" t="s">
        <v>312</v>
      </c>
      <c r="D25" s="25">
        <v>1</v>
      </c>
      <c r="E25" s="25" t="s">
        <v>313</v>
      </c>
      <c r="F25" s="25" t="s">
        <v>24</v>
      </c>
      <c r="G25" s="25" t="s">
        <v>24</v>
      </c>
      <c r="H25" s="25" t="s">
        <v>190</v>
      </c>
      <c r="I25" s="25" t="s">
        <v>191</v>
      </c>
      <c r="J25" s="25" t="s">
        <v>67</v>
      </c>
      <c r="K25" s="25" t="s">
        <v>67</v>
      </c>
      <c r="L25" s="25" t="s">
        <v>27</v>
      </c>
      <c r="M25" s="25" t="s">
        <v>313</v>
      </c>
      <c r="N25" s="27">
        <v>0.96809999999999996</v>
      </c>
      <c r="O25" s="31" t="s">
        <v>239</v>
      </c>
      <c r="P25" s="31" t="s">
        <v>240</v>
      </c>
      <c r="Q25" s="25" t="s">
        <v>196</v>
      </c>
      <c r="R25" s="25" t="s">
        <v>195</v>
      </c>
      <c r="S25" s="25" t="s">
        <v>241</v>
      </c>
      <c r="T25" s="25" t="s">
        <v>130</v>
      </c>
      <c r="U25" s="25" t="s">
        <v>262</v>
      </c>
      <c r="V25" s="25" t="s">
        <v>314</v>
      </c>
      <c r="W25" s="38" t="s">
        <v>249</v>
      </c>
      <c r="X25" s="62" t="s">
        <v>34</v>
      </c>
      <c r="Y25" s="62"/>
      <c r="Z25" s="62" t="s">
        <v>34</v>
      </c>
      <c r="AA25" s="25"/>
    </row>
    <row r="26" spans="1:27" ht="33" x14ac:dyDescent="0.3">
      <c r="A26" s="16">
        <v>25</v>
      </c>
      <c r="B26" s="16" t="s">
        <v>315</v>
      </c>
      <c r="C26" s="51" t="s">
        <v>316</v>
      </c>
      <c r="D26" s="16">
        <v>1</v>
      </c>
      <c r="E26" s="16" t="s">
        <v>313</v>
      </c>
      <c r="F26" s="16" t="s">
        <v>24</v>
      </c>
      <c r="G26" s="16" t="s">
        <v>24</v>
      </c>
      <c r="H26" s="16" t="s">
        <v>190</v>
      </c>
      <c r="I26" s="16" t="s">
        <v>191</v>
      </c>
      <c r="J26" s="16" t="s">
        <v>67</v>
      </c>
      <c r="K26" s="16" t="s">
        <v>67</v>
      </c>
      <c r="L26" s="16" t="s">
        <v>27</v>
      </c>
      <c r="M26" s="16" t="s">
        <v>313</v>
      </c>
      <c r="N26" s="18">
        <v>0.96809999999999996</v>
      </c>
      <c r="O26" s="22" t="s">
        <v>239</v>
      </c>
      <c r="P26" s="22" t="s">
        <v>240</v>
      </c>
      <c r="Q26" s="16" t="s">
        <v>196</v>
      </c>
      <c r="R26" s="16" t="s">
        <v>195</v>
      </c>
      <c r="S26" s="16" t="s">
        <v>241</v>
      </c>
      <c r="T26" s="16" t="s">
        <v>130</v>
      </c>
      <c r="U26" s="16" t="s">
        <v>262</v>
      </c>
      <c r="V26" s="16" t="s">
        <v>314</v>
      </c>
      <c r="W26" s="35" t="s">
        <v>249</v>
      </c>
      <c r="X26" s="61" t="s">
        <v>34</v>
      </c>
      <c r="Y26" s="61"/>
      <c r="Z26" s="61" t="s">
        <v>34</v>
      </c>
      <c r="AA26" s="63"/>
    </row>
    <row r="27" spans="1:27" ht="49.5" x14ac:dyDescent="0.3">
      <c r="A27" s="25">
        <v>26</v>
      </c>
      <c r="B27" s="25" t="s">
        <v>317</v>
      </c>
      <c r="C27" s="52" t="s">
        <v>318</v>
      </c>
      <c r="D27" s="25">
        <v>1</v>
      </c>
      <c r="E27" s="25" t="s">
        <v>313</v>
      </c>
      <c r="F27" s="25" t="s">
        <v>24</v>
      </c>
      <c r="G27" s="25" t="s">
        <v>24</v>
      </c>
      <c r="H27" s="25" t="s">
        <v>190</v>
      </c>
      <c r="I27" s="25" t="s">
        <v>191</v>
      </c>
      <c r="J27" s="25" t="s">
        <v>67</v>
      </c>
      <c r="K27" s="25" t="s">
        <v>67</v>
      </c>
      <c r="L27" s="25" t="s">
        <v>27</v>
      </c>
      <c r="M27" s="25" t="s">
        <v>313</v>
      </c>
      <c r="N27" s="27" t="s">
        <v>319</v>
      </c>
      <c r="O27" s="31" t="s">
        <v>320</v>
      </c>
      <c r="P27" s="31" t="s">
        <v>321</v>
      </c>
      <c r="Q27" s="25" t="s">
        <v>196</v>
      </c>
      <c r="R27" s="25" t="s">
        <v>195</v>
      </c>
      <c r="S27" s="64" t="s">
        <v>322</v>
      </c>
      <c r="T27" s="25" t="s">
        <v>130</v>
      </c>
      <c r="U27" s="25" t="s">
        <v>262</v>
      </c>
      <c r="V27" s="25" t="s">
        <v>323</v>
      </c>
      <c r="W27" s="38" t="s">
        <v>324</v>
      </c>
      <c r="X27" s="62" t="s">
        <v>34</v>
      </c>
      <c r="Y27" s="62" t="s">
        <v>34</v>
      </c>
      <c r="Z27" s="62" t="s">
        <v>34</v>
      </c>
      <c r="AA27" s="25"/>
    </row>
    <row r="28" spans="1:27" ht="49.5" x14ac:dyDescent="0.3">
      <c r="A28" s="16">
        <v>27</v>
      </c>
      <c r="B28" s="16" t="s">
        <v>325</v>
      </c>
      <c r="C28" s="51" t="s">
        <v>326</v>
      </c>
      <c r="D28" s="16">
        <v>1</v>
      </c>
      <c r="E28" s="16" t="s">
        <v>313</v>
      </c>
      <c r="F28" s="16" t="s">
        <v>24</v>
      </c>
      <c r="G28" s="16" t="s">
        <v>24</v>
      </c>
      <c r="H28" s="16" t="s">
        <v>190</v>
      </c>
      <c r="I28" s="16" t="s">
        <v>191</v>
      </c>
      <c r="J28" s="16" t="s">
        <v>67</v>
      </c>
      <c r="K28" s="16" t="s">
        <v>67</v>
      </c>
      <c r="L28" s="16" t="s">
        <v>27</v>
      </c>
      <c r="M28" s="16" t="s">
        <v>313</v>
      </c>
      <c r="N28" s="18" t="s">
        <v>319</v>
      </c>
      <c r="O28" s="22" t="s">
        <v>320</v>
      </c>
      <c r="P28" s="22" t="s">
        <v>321</v>
      </c>
      <c r="Q28" s="16" t="s">
        <v>196</v>
      </c>
      <c r="R28" s="16" t="s">
        <v>195</v>
      </c>
      <c r="S28" s="16" t="s">
        <v>322</v>
      </c>
      <c r="T28" s="16" t="s">
        <v>130</v>
      </c>
      <c r="U28" s="16" t="s">
        <v>262</v>
      </c>
      <c r="V28" s="16" t="s">
        <v>323</v>
      </c>
      <c r="W28" s="35" t="s">
        <v>324</v>
      </c>
      <c r="X28" s="61" t="s">
        <v>34</v>
      </c>
      <c r="Y28" s="61" t="s">
        <v>34</v>
      </c>
      <c r="Z28" s="61" t="s">
        <v>34</v>
      </c>
      <c r="AA28" s="16"/>
    </row>
    <row r="29" spans="1:27" ht="16.5" x14ac:dyDescent="0.3">
      <c r="A29" s="106"/>
      <c r="B29" s="106"/>
      <c r="N29" s="34" t="s">
        <v>211</v>
      </c>
      <c r="O29" s="53" t="s">
        <v>212</v>
      </c>
      <c r="P29" s="34" t="s">
        <v>117</v>
      </c>
    </row>
  </sheetData>
  <mergeCells count="1">
    <mergeCell ref="A29:B29"/>
  </mergeCells>
  <phoneticPr fontId="16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9"/>
  <sheetViews>
    <sheetView zoomScale="80" zoomScaleNormal="80" workbookViewId="0">
      <selection activeCell="H10" sqref="H10"/>
    </sheetView>
  </sheetViews>
  <sheetFormatPr defaultColWidth="9" defaultRowHeight="14" x14ac:dyDescent="0.3"/>
  <cols>
    <col min="1" max="1" width="5.5" customWidth="1"/>
    <col min="2" max="2" width="28.5" customWidth="1"/>
    <col min="3" max="3" width="50.58203125" customWidth="1"/>
    <col min="4" max="4" width="17.83203125" customWidth="1"/>
    <col min="5" max="6" width="14.75" customWidth="1"/>
    <col min="7" max="7" width="18.5" customWidth="1"/>
    <col min="8" max="8" width="18.58203125" customWidth="1"/>
    <col min="9" max="10" width="10.75" customWidth="1"/>
    <col min="11" max="11" width="14.75" customWidth="1"/>
    <col min="12" max="12" width="12.33203125" customWidth="1"/>
    <col min="13" max="15" width="14.75" customWidth="1"/>
    <col min="16" max="20" width="10.75" customWidth="1"/>
    <col min="21" max="22" width="23.58203125" customWidth="1"/>
    <col min="23" max="24" width="10.75" customWidth="1"/>
    <col min="25" max="25" width="10" customWidth="1"/>
  </cols>
  <sheetData>
    <row r="1" spans="1:25" s="12" customFormat="1" ht="33" x14ac:dyDescent="0.3">
      <c r="A1" s="15" t="s">
        <v>0</v>
      </c>
      <c r="B1" s="15" t="s">
        <v>1</v>
      </c>
      <c r="C1" s="15" t="s">
        <v>2</v>
      </c>
      <c r="D1" s="15" t="s">
        <v>81</v>
      </c>
      <c r="E1" s="15" t="s">
        <v>213</v>
      </c>
      <c r="F1" s="15" t="s">
        <v>84</v>
      </c>
      <c r="G1" s="15" t="s">
        <v>82</v>
      </c>
      <c r="H1" s="15" t="s">
        <v>13</v>
      </c>
      <c r="I1" s="15" t="s">
        <v>86</v>
      </c>
      <c r="J1" s="15" t="s">
        <v>87</v>
      </c>
      <c r="K1" s="15" t="s">
        <v>85</v>
      </c>
      <c r="L1" s="15" t="s">
        <v>14</v>
      </c>
      <c r="M1" s="15" t="s">
        <v>327</v>
      </c>
      <c r="N1" s="15" t="s">
        <v>89</v>
      </c>
      <c r="O1" s="15" t="s">
        <v>90</v>
      </c>
      <c r="P1" s="15" t="s">
        <v>328</v>
      </c>
      <c r="Q1" s="15" t="s">
        <v>96</v>
      </c>
      <c r="R1" s="15" t="s">
        <v>92</v>
      </c>
      <c r="S1" s="15" t="s">
        <v>93</v>
      </c>
      <c r="T1" s="15" t="s">
        <v>97</v>
      </c>
      <c r="U1" s="15" t="s">
        <v>329</v>
      </c>
      <c r="V1" s="15" t="s">
        <v>330</v>
      </c>
      <c r="W1" s="15" t="s">
        <v>98</v>
      </c>
      <c r="X1" s="15" t="s">
        <v>331</v>
      </c>
      <c r="Y1" s="15" t="s">
        <v>99</v>
      </c>
    </row>
    <row r="2" spans="1:25" s="42" customFormat="1" ht="33" x14ac:dyDescent="0.3">
      <c r="A2" s="16">
        <v>1</v>
      </c>
      <c r="B2" s="16" t="s">
        <v>237</v>
      </c>
      <c r="C2" s="35" t="s">
        <v>238</v>
      </c>
      <c r="D2" s="17" t="s">
        <v>332</v>
      </c>
      <c r="E2" s="19" t="s">
        <v>33</v>
      </c>
      <c r="F2" s="19" t="s">
        <v>103</v>
      </c>
      <c r="G2" s="17" t="s">
        <v>333</v>
      </c>
      <c r="H2" s="19" t="s">
        <v>334</v>
      </c>
      <c r="I2" s="24">
        <v>2.8999999999999998E-3</v>
      </c>
      <c r="J2" s="21">
        <v>49.99</v>
      </c>
      <c r="K2" s="36">
        <v>1</v>
      </c>
      <c r="L2" s="19" t="s">
        <v>240</v>
      </c>
      <c r="M2" s="23" t="s">
        <v>335</v>
      </c>
      <c r="N2" s="23" t="s">
        <v>336</v>
      </c>
      <c r="O2" s="20" t="s">
        <v>337</v>
      </c>
      <c r="P2" s="17" t="s">
        <v>338</v>
      </c>
      <c r="Q2" s="37">
        <v>1</v>
      </c>
      <c r="R2" s="20">
        <v>0</v>
      </c>
      <c r="S2" s="20">
        <v>0</v>
      </c>
      <c r="T2" s="36">
        <v>3</v>
      </c>
      <c r="U2" s="19" t="s">
        <v>339</v>
      </c>
      <c r="V2" s="19" t="s">
        <v>340</v>
      </c>
      <c r="W2" s="20">
        <v>10</v>
      </c>
      <c r="X2" s="23" t="s">
        <v>341</v>
      </c>
      <c r="Y2" s="49" t="s">
        <v>33</v>
      </c>
    </row>
    <row r="3" spans="1:25" s="13" customFormat="1" ht="33" x14ac:dyDescent="0.3">
      <c r="A3" s="25">
        <v>2</v>
      </c>
      <c r="B3" s="25" t="s">
        <v>244</v>
      </c>
      <c r="C3" s="38" t="s">
        <v>342</v>
      </c>
      <c r="D3" s="26" t="s">
        <v>332</v>
      </c>
      <c r="E3" s="28" t="s">
        <v>33</v>
      </c>
      <c r="F3" s="28" t="s">
        <v>103</v>
      </c>
      <c r="G3" s="26" t="s">
        <v>343</v>
      </c>
      <c r="H3" s="28" t="s">
        <v>344</v>
      </c>
      <c r="I3" s="33">
        <v>4.4999999999999997E-3</v>
      </c>
      <c r="J3" s="30">
        <v>49.99</v>
      </c>
      <c r="K3" s="39">
        <v>1</v>
      </c>
      <c r="L3" s="28" t="s">
        <v>247</v>
      </c>
      <c r="M3" s="29" t="s">
        <v>345</v>
      </c>
      <c r="N3" s="29" t="s">
        <v>346</v>
      </c>
      <c r="O3" s="32" t="s">
        <v>217</v>
      </c>
      <c r="P3" s="32" t="s">
        <v>347</v>
      </c>
      <c r="Q3" s="41">
        <v>1</v>
      </c>
      <c r="R3" s="32">
        <v>0</v>
      </c>
      <c r="S3" s="32">
        <v>0</v>
      </c>
      <c r="T3" s="39">
        <v>3</v>
      </c>
      <c r="U3" s="28" t="s">
        <v>348</v>
      </c>
      <c r="V3" s="28" t="s">
        <v>349</v>
      </c>
      <c r="W3" s="32">
        <v>10</v>
      </c>
      <c r="X3" s="29" t="s">
        <v>350</v>
      </c>
      <c r="Y3" s="41" t="s">
        <v>33</v>
      </c>
    </row>
    <row r="4" spans="1:25" ht="33" x14ac:dyDescent="0.3">
      <c r="A4" s="16">
        <v>3</v>
      </c>
      <c r="B4" s="16" t="s">
        <v>250</v>
      </c>
      <c r="C4" s="51" t="s">
        <v>251</v>
      </c>
      <c r="D4" s="17" t="s">
        <v>332</v>
      </c>
      <c r="E4" s="19" t="s">
        <v>33</v>
      </c>
      <c r="F4" s="19" t="s">
        <v>103</v>
      </c>
      <c r="G4" s="17" t="s">
        <v>343</v>
      </c>
      <c r="H4" s="19" t="s">
        <v>344</v>
      </c>
      <c r="I4" s="24">
        <v>4.4999999999999997E-3</v>
      </c>
      <c r="J4" s="21">
        <v>49.99</v>
      </c>
      <c r="K4" s="36">
        <v>1</v>
      </c>
      <c r="L4" s="19" t="s">
        <v>247</v>
      </c>
      <c r="M4" s="23" t="s">
        <v>345</v>
      </c>
      <c r="N4" s="23" t="s">
        <v>346</v>
      </c>
      <c r="O4" s="20" t="s">
        <v>217</v>
      </c>
      <c r="P4" s="17" t="s">
        <v>347</v>
      </c>
      <c r="Q4" s="37">
        <v>1</v>
      </c>
      <c r="R4" s="20">
        <v>0</v>
      </c>
      <c r="S4" s="20">
        <v>0</v>
      </c>
      <c r="T4" s="36">
        <v>3</v>
      </c>
      <c r="U4" s="19" t="s">
        <v>348</v>
      </c>
      <c r="V4" s="19" t="s">
        <v>349</v>
      </c>
      <c r="W4" s="20">
        <v>10</v>
      </c>
      <c r="X4" s="23" t="s">
        <v>350</v>
      </c>
      <c r="Y4" s="49" t="s">
        <v>33</v>
      </c>
    </row>
    <row r="5" spans="1:25" ht="33" x14ac:dyDescent="0.3">
      <c r="A5" s="25">
        <v>4</v>
      </c>
      <c r="B5" s="25" t="s">
        <v>252</v>
      </c>
      <c r="C5" s="52" t="s">
        <v>253</v>
      </c>
      <c r="D5" s="26" t="s">
        <v>332</v>
      </c>
      <c r="E5" s="28" t="s">
        <v>33</v>
      </c>
      <c r="F5" s="28" t="s">
        <v>103</v>
      </c>
      <c r="G5" s="26" t="s">
        <v>343</v>
      </c>
      <c r="H5" s="28" t="s">
        <v>344</v>
      </c>
      <c r="I5" s="33">
        <v>4.4999999999999997E-3</v>
      </c>
      <c r="J5" s="30">
        <v>49.99</v>
      </c>
      <c r="K5" s="39">
        <v>1</v>
      </c>
      <c r="L5" s="28" t="s">
        <v>247</v>
      </c>
      <c r="M5" s="29" t="s">
        <v>345</v>
      </c>
      <c r="N5" s="29" t="s">
        <v>346</v>
      </c>
      <c r="O5" s="32" t="s">
        <v>217</v>
      </c>
      <c r="P5" s="32" t="s">
        <v>347</v>
      </c>
      <c r="Q5" s="41">
        <v>1</v>
      </c>
      <c r="R5" s="32">
        <v>0</v>
      </c>
      <c r="S5" s="32">
        <v>0</v>
      </c>
      <c r="T5" s="39">
        <v>3</v>
      </c>
      <c r="U5" s="28" t="s">
        <v>348</v>
      </c>
      <c r="V5" s="28" t="s">
        <v>349</v>
      </c>
      <c r="W5" s="32">
        <v>10</v>
      </c>
      <c r="X5" s="29" t="s">
        <v>350</v>
      </c>
      <c r="Y5" s="41" t="s">
        <v>33</v>
      </c>
    </row>
    <row r="6" spans="1:25" ht="33" x14ac:dyDescent="0.3">
      <c r="A6" s="16">
        <v>5</v>
      </c>
      <c r="B6" s="16" t="s">
        <v>256</v>
      </c>
      <c r="C6" s="51" t="s">
        <v>257</v>
      </c>
      <c r="D6" s="17" t="s">
        <v>332</v>
      </c>
      <c r="E6" s="19" t="s">
        <v>33</v>
      </c>
      <c r="F6" s="19" t="s">
        <v>103</v>
      </c>
      <c r="G6" s="17" t="s">
        <v>343</v>
      </c>
      <c r="H6" s="19" t="s">
        <v>344</v>
      </c>
      <c r="I6" s="24">
        <v>4.4999999999999997E-3</v>
      </c>
      <c r="J6" s="21">
        <v>49.99</v>
      </c>
      <c r="K6" s="36">
        <v>1</v>
      </c>
      <c r="L6" s="19" t="s">
        <v>247</v>
      </c>
      <c r="M6" s="23" t="s">
        <v>345</v>
      </c>
      <c r="N6" s="23" t="s">
        <v>346</v>
      </c>
      <c r="O6" s="20" t="s">
        <v>217</v>
      </c>
      <c r="P6" s="17" t="s">
        <v>347</v>
      </c>
      <c r="Q6" s="37">
        <v>1</v>
      </c>
      <c r="R6" s="20">
        <v>0</v>
      </c>
      <c r="S6" s="20">
        <v>0</v>
      </c>
      <c r="T6" s="36">
        <v>3</v>
      </c>
      <c r="U6" s="19" t="s">
        <v>348</v>
      </c>
      <c r="V6" s="19" t="s">
        <v>349</v>
      </c>
      <c r="W6" s="20">
        <v>10</v>
      </c>
      <c r="X6" s="23" t="s">
        <v>350</v>
      </c>
      <c r="Y6" s="49" t="s">
        <v>33</v>
      </c>
    </row>
    <row r="7" spans="1:25" ht="33" x14ac:dyDescent="0.3">
      <c r="A7" s="25">
        <v>6</v>
      </c>
      <c r="B7" s="25" t="s">
        <v>258</v>
      </c>
      <c r="C7" s="52" t="s">
        <v>259</v>
      </c>
      <c r="D7" s="26" t="s">
        <v>332</v>
      </c>
      <c r="E7" s="28" t="s">
        <v>33</v>
      </c>
      <c r="F7" s="28" t="s">
        <v>103</v>
      </c>
      <c r="G7" s="26" t="s">
        <v>351</v>
      </c>
      <c r="H7" s="28" t="s">
        <v>352</v>
      </c>
      <c r="I7" s="33">
        <v>3.8E-3</v>
      </c>
      <c r="J7" s="30">
        <v>49.99</v>
      </c>
      <c r="K7" s="39">
        <v>1</v>
      </c>
      <c r="L7" s="28" t="s">
        <v>260</v>
      </c>
      <c r="M7" s="29" t="s">
        <v>353</v>
      </c>
      <c r="N7" s="29" t="s">
        <v>354</v>
      </c>
      <c r="O7" s="32" t="s">
        <v>217</v>
      </c>
      <c r="P7" s="26" t="s">
        <v>355</v>
      </c>
      <c r="Q7" s="41">
        <v>1</v>
      </c>
      <c r="R7" s="32">
        <v>0</v>
      </c>
      <c r="S7" s="32">
        <v>0</v>
      </c>
      <c r="T7" s="39">
        <v>3</v>
      </c>
      <c r="U7" s="28" t="s">
        <v>356</v>
      </c>
      <c r="V7" s="28" t="s">
        <v>357</v>
      </c>
      <c r="W7" s="32">
        <v>10</v>
      </c>
      <c r="X7" s="32" t="s">
        <v>358</v>
      </c>
      <c r="Y7" s="41" t="s">
        <v>33</v>
      </c>
    </row>
    <row r="8" spans="1:25" ht="33" x14ac:dyDescent="0.3">
      <c r="A8" s="16">
        <v>7</v>
      </c>
      <c r="B8" s="16" t="s">
        <v>263</v>
      </c>
      <c r="C8" s="51" t="s">
        <v>359</v>
      </c>
      <c r="D8" s="17" t="s">
        <v>332</v>
      </c>
      <c r="E8" s="19" t="s">
        <v>33</v>
      </c>
      <c r="F8" s="19" t="s">
        <v>103</v>
      </c>
      <c r="G8" s="17" t="s">
        <v>360</v>
      </c>
      <c r="H8" s="19" t="s">
        <v>361</v>
      </c>
      <c r="I8" s="24">
        <v>3.5999999999999999E-3</v>
      </c>
      <c r="J8" s="21">
        <v>49.99</v>
      </c>
      <c r="K8" s="36">
        <v>1</v>
      </c>
      <c r="L8" s="19" t="s">
        <v>266</v>
      </c>
      <c r="M8" s="23" t="s">
        <v>362</v>
      </c>
      <c r="N8" s="23" t="s">
        <v>363</v>
      </c>
      <c r="O8" s="20" t="s">
        <v>337</v>
      </c>
      <c r="P8" s="20" t="s">
        <v>364</v>
      </c>
      <c r="Q8" s="37">
        <v>1</v>
      </c>
      <c r="R8" s="20">
        <v>0</v>
      </c>
      <c r="S8" s="20">
        <v>0</v>
      </c>
      <c r="T8" s="36">
        <v>3</v>
      </c>
      <c r="U8" s="19" t="s">
        <v>365</v>
      </c>
      <c r="V8" s="19" t="s">
        <v>366</v>
      </c>
      <c r="W8" s="20">
        <v>10</v>
      </c>
      <c r="X8" s="20" t="s">
        <v>367</v>
      </c>
      <c r="Y8" s="49" t="s">
        <v>33</v>
      </c>
    </row>
    <row r="9" spans="1:25" ht="33" x14ac:dyDescent="0.3">
      <c r="A9" s="25">
        <v>8</v>
      </c>
      <c r="B9" s="25" t="s">
        <v>267</v>
      </c>
      <c r="C9" s="52" t="s">
        <v>268</v>
      </c>
      <c r="D9" s="26" t="s">
        <v>332</v>
      </c>
      <c r="E9" s="28" t="s">
        <v>33</v>
      </c>
      <c r="F9" s="28" t="s">
        <v>103</v>
      </c>
      <c r="G9" s="26" t="s">
        <v>360</v>
      </c>
      <c r="H9" s="28" t="s">
        <v>361</v>
      </c>
      <c r="I9" s="33">
        <v>3.5999999999999999E-3</v>
      </c>
      <c r="J9" s="30">
        <v>49.99</v>
      </c>
      <c r="K9" s="39">
        <v>1</v>
      </c>
      <c r="L9" s="28" t="s">
        <v>266</v>
      </c>
      <c r="M9" s="29" t="s">
        <v>362</v>
      </c>
      <c r="N9" s="29" t="s">
        <v>363</v>
      </c>
      <c r="O9" s="32" t="s">
        <v>337</v>
      </c>
      <c r="P9" s="32" t="s">
        <v>364</v>
      </c>
      <c r="Q9" s="41">
        <v>1</v>
      </c>
      <c r="R9" s="32">
        <v>0</v>
      </c>
      <c r="S9" s="32">
        <v>0</v>
      </c>
      <c r="T9" s="39">
        <v>3</v>
      </c>
      <c r="U9" s="28" t="s">
        <v>365</v>
      </c>
      <c r="V9" s="28" t="s">
        <v>366</v>
      </c>
      <c r="W9" s="32">
        <v>10</v>
      </c>
      <c r="X9" s="32" t="s">
        <v>367</v>
      </c>
      <c r="Y9" s="41" t="s">
        <v>33</v>
      </c>
    </row>
    <row r="10" spans="1:25" ht="33" x14ac:dyDescent="0.3">
      <c r="A10" s="16">
        <v>9</v>
      </c>
      <c r="B10" s="16" t="s">
        <v>269</v>
      </c>
      <c r="C10" s="51" t="s">
        <v>368</v>
      </c>
      <c r="D10" s="17" t="s">
        <v>332</v>
      </c>
      <c r="E10" s="19" t="s">
        <v>33</v>
      </c>
      <c r="F10" s="19" t="s">
        <v>103</v>
      </c>
      <c r="G10" s="17" t="s">
        <v>360</v>
      </c>
      <c r="H10" s="19" t="s">
        <v>361</v>
      </c>
      <c r="I10" s="24">
        <v>3.5999999999999999E-3</v>
      </c>
      <c r="J10" s="21">
        <v>49.99</v>
      </c>
      <c r="K10" s="36">
        <v>1</v>
      </c>
      <c r="L10" s="19" t="s">
        <v>266</v>
      </c>
      <c r="M10" s="23" t="s">
        <v>362</v>
      </c>
      <c r="N10" s="23" t="s">
        <v>363</v>
      </c>
      <c r="O10" s="20" t="s">
        <v>337</v>
      </c>
      <c r="P10" s="20" t="s">
        <v>364</v>
      </c>
      <c r="Q10" s="37">
        <v>1</v>
      </c>
      <c r="R10" s="20">
        <v>0</v>
      </c>
      <c r="S10" s="20">
        <v>0</v>
      </c>
      <c r="T10" s="36">
        <v>3</v>
      </c>
      <c r="U10" s="19" t="s">
        <v>365</v>
      </c>
      <c r="V10" s="19" t="s">
        <v>366</v>
      </c>
      <c r="W10" s="20">
        <v>10</v>
      </c>
      <c r="X10" s="20" t="s">
        <v>367</v>
      </c>
      <c r="Y10" s="49" t="s">
        <v>33</v>
      </c>
    </row>
    <row r="11" spans="1:25" ht="33" x14ac:dyDescent="0.3">
      <c r="A11" s="25">
        <v>10</v>
      </c>
      <c r="B11" s="25" t="s">
        <v>271</v>
      </c>
      <c r="C11" s="52" t="s">
        <v>272</v>
      </c>
      <c r="D11" s="26" t="s">
        <v>332</v>
      </c>
      <c r="E11" s="28" t="s">
        <v>33</v>
      </c>
      <c r="F11" s="28" t="s">
        <v>103</v>
      </c>
      <c r="G11" s="26" t="s">
        <v>360</v>
      </c>
      <c r="H11" s="28" t="s">
        <v>361</v>
      </c>
      <c r="I11" s="33">
        <v>3.5999999999999999E-3</v>
      </c>
      <c r="J11" s="30">
        <v>49.99</v>
      </c>
      <c r="K11" s="39">
        <v>1</v>
      </c>
      <c r="L11" s="28" t="s">
        <v>266</v>
      </c>
      <c r="M11" s="29" t="s">
        <v>362</v>
      </c>
      <c r="N11" s="29" t="s">
        <v>363</v>
      </c>
      <c r="O11" s="32" t="s">
        <v>337</v>
      </c>
      <c r="P11" s="32" t="s">
        <v>364</v>
      </c>
      <c r="Q11" s="41">
        <v>1</v>
      </c>
      <c r="R11" s="32">
        <v>0</v>
      </c>
      <c r="S11" s="32">
        <v>0</v>
      </c>
      <c r="T11" s="39">
        <v>3</v>
      </c>
      <c r="U11" s="28" t="s">
        <v>365</v>
      </c>
      <c r="V11" s="28" t="s">
        <v>366</v>
      </c>
      <c r="W11" s="32">
        <v>10</v>
      </c>
      <c r="X11" s="32" t="s">
        <v>367</v>
      </c>
      <c r="Y11" s="41" t="s">
        <v>33</v>
      </c>
    </row>
    <row r="12" spans="1:25" ht="33" x14ac:dyDescent="0.3">
      <c r="A12" s="16">
        <v>11</v>
      </c>
      <c r="B12" s="16" t="s">
        <v>273</v>
      </c>
      <c r="C12" s="51" t="s">
        <v>274</v>
      </c>
      <c r="D12" s="17" t="s">
        <v>332</v>
      </c>
      <c r="E12" s="19" t="s">
        <v>33</v>
      </c>
      <c r="F12" s="19" t="s">
        <v>103</v>
      </c>
      <c r="G12" s="17" t="s">
        <v>369</v>
      </c>
      <c r="H12" s="19" t="s">
        <v>370</v>
      </c>
      <c r="I12" s="24">
        <v>3.8999999999999998E-3</v>
      </c>
      <c r="J12" s="21">
        <v>49.99</v>
      </c>
      <c r="K12" s="36">
        <v>1</v>
      </c>
      <c r="L12" s="19" t="s">
        <v>276</v>
      </c>
      <c r="M12" s="23" t="s">
        <v>371</v>
      </c>
      <c r="N12" s="23" t="s">
        <v>372</v>
      </c>
      <c r="O12" s="20" t="s">
        <v>217</v>
      </c>
      <c r="P12" s="17" t="s">
        <v>373</v>
      </c>
      <c r="Q12" s="37">
        <v>1</v>
      </c>
      <c r="R12" s="20">
        <v>0</v>
      </c>
      <c r="S12" s="20">
        <v>0</v>
      </c>
      <c r="T12" s="36">
        <v>3</v>
      </c>
      <c r="U12" s="19" t="s">
        <v>374</v>
      </c>
      <c r="V12" s="19" t="s">
        <v>375</v>
      </c>
      <c r="W12" s="20">
        <v>10</v>
      </c>
      <c r="X12" s="20" t="s">
        <v>376</v>
      </c>
      <c r="Y12" s="49" t="s">
        <v>33</v>
      </c>
    </row>
    <row r="13" spans="1:25" ht="33" x14ac:dyDescent="0.3">
      <c r="A13" s="25">
        <v>12</v>
      </c>
      <c r="B13" s="25" t="s">
        <v>279</v>
      </c>
      <c r="C13" s="52" t="s">
        <v>280</v>
      </c>
      <c r="D13" s="26" t="s">
        <v>332</v>
      </c>
      <c r="E13" s="28" t="s">
        <v>33</v>
      </c>
      <c r="F13" s="28" t="s">
        <v>103</v>
      </c>
      <c r="G13" s="26" t="s">
        <v>369</v>
      </c>
      <c r="H13" s="28" t="s">
        <v>370</v>
      </c>
      <c r="I13" s="33">
        <v>3.8999999999999998E-3</v>
      </c>
      <c r="J13" s="30">
        <v>49.99</v>
      </c>
      <c r="K13" s="39">
        <v>1</v>
      </c>
      <c r="L13" s="28" t="s">
        <v>276</v>
      </c>
      <c r="M13" s="29" t="s">
        <v>371</v>
      </c>
      <c r="N13" s="29" t="s">
        <v>372</v>
      </c>
      <c r="O13" s="32" t="s">
        <v>217</v>
      </c>
      <c r="P13" s="26" t="s">
        <v>373</v>
      </c>
      <c r="Q13" s="41">
        <v>1</v>
      </c>
      <c r="R13" s="32">
        <v>0</v>
      </c>
      <c r="S13" s="32">
        <v>0</v>
      </c>
      <c r="T13" s="39">
        <v>3</v>
      </c>
      <c r="U13" s="28" t="s">
        <v>374</v>
      </c>
      <c r="V13" s="28" t="s">
        <v>375</v>
      </c>
      <c r="W13" s="32">
        <v>10</v>
      </c>
      <c r="X13" s="32" t="s">
        <v>376</v>
      </c>
      <c r="Y13" s="41" t="s">
        <v>33</v>
      </c>
    </row>
    <row r="14" spans="1:25" ht="33" x14ac:dyDescent="0.3">
      <c r="A14" s="16">
        <v>13</v>
      </c>
      <c r="B14" s="16" t="s">
        <v>281</v>
      </c>
      <c r="C14" s="51" t="s">
        <v>282</v>
      </c>
      <c r="D14" s="17" t="s">
        <v>332</v>
      </c>
      <c r="E14" s="19" t="s">
        <v>33</v>
      </c>
      <c r="F14" s="19" t="s">
        <v>103</v>
      </c>
      <c r="G14" s="17" t="s">
        <v>369</v>
      </c>
      <c r="H14" s="19" t="s">
        <v>370</v>
      </c>
      <c r="I14" s="24">
        <v>3.8999999999999998E-3</v>
      </c>
      <c r="J14" s="21">
        <v>49.99</v>
      </c>
      <c r="K14" s="36">
        <v>1</v>
      </c>
      <c r="L14" s="19" t="s">
        <v>276</v>
      </c>
      <c r="M14" s="23" t="s">
        <v>371</v>
      </c>
      <c r="N14" s="23" t="s">
        <v>372</v>
      </c>
      <c r="O14" s="20" t="s">
        <v>217</v>
      </c>
      <c r="P14" s="17" t="s">
        <v>373</v>
      </c>
      <c r="Q14" s="37">
        <v>1</v>
      </c>
      <c r="R14" s="20">
        <v>0</v>
      </c>
      <c r="S14" s="20">
        <v>0</v>
      </c>
      <c r="T14" s="36">
        <v>3</v>
      </c>
      <c r="U14" s="19" t="s">
        <v>374</v>
      </c>
      <c r="V14" s="19" t="s">
        <v>375</v>
      </c>
      <c r="W14" s="20">
        <v>10</v>
      </c>
      <c r="X14" s="20" t="s">
        <v>376</v>
      </c>
      <c r="Y14" s="49" t="s">
        <v>33</v>
      </c>
    </row>
    <row r="15" spans="1:25" ht="33" x14ac:dyDescent="0.3">
      <c r="A15" s="25">
        <v>14</v>
      </c>
      <c r="B15" s="25" t="s">
        <v>284</v>
      </c>
      <c r="C15" s="52" t="s">
        <v>285</v>
      </c>
      <c r="D15" s="26" t="s">
        <v>332</v>
      </c>
      <c r="E15" s="28" t="s">
        <v>33</v>
      </c>
      <c r="F15" s="28" t="s">
        <v>103</v>
      </c>
      <c r="G15" s="26" t="s">
        <v>369</v>
      </c>
      <c r="H15" s="28" t="s">
        <v>370</v>
      </c>
      <c r="I15" s="33">
        <v>3.8999999999999998E-3</v>
      </c>
      <c r="J15" s="30">
        <v>49.99</v>
      </c>
      <c r="K15" s="39">
        <v>1</v>
      </c>
      <c r="L15" s="28" t="s">
        <v>276</v>
      </c>
      <c r="M15" s="29" t="s">
        <v>371</v>
      </c>
      <c r="N15" s="29" t="s">
        <v>372</v>
      </c>
      <c r="O15" s="32" t="s">
        <v>217</v>
      </c>
      <c r="P15" s="26" t="s">
        <v>373</v>
      </c>
      <c r="Q15" s="41">
        <v>1</v>
      </c>
      <c r="R15" s="32">
        <v>0</v>
      </c>
      <c r="S15" s="32">
        <v>0</v>
      </c>
      <c r="T15" s="39">
        <v>3</v>
      </c>
      <c r="U15" s="28" t="s">
        <v>374</v>
      </c>
      <c r="V15" s="28" t="s">
        <v>375</v>
      </c>
      <c r="W15" s="32">
        <v>10</v>
      </c>
      <c r="X15" s="32" t="s">
        <v>376</v>
      </c>
      <c r="Y15" s="41" t="s">
        <v>33</v>
      </c>
    </row>
    <row r="16" spans="1:25" ht="33" x14ac:dyDescent="0.3">
      <c r="A16" s="16">
        <v>15</v>
      </c>
      <c r="B16" s="16" t="s">
        <v>287</v>
      </c>
      <c r="C16" s="51" t="s">
        <v>288</v>
      </c>
      <c r="D16" s="17" t="s">
        <v>332</v>
      </c>
      <c r="E16" s="19" t="s">
        <v>33</v>
      </c>
      <c r="F16" s="19" t="s">
        <v>103</v>
      </c>
      <c r="G16" s="17" t="s">
        <v>369</v>
      </c>
      <c r="H16" s="19" t="s">
        <v>370</v>
      </c>
      <c r="I16" s="24">
        <v>3.8999999999999998E-3</v>
      </c>
      <c r="J16" s="21">
        <v>49.99</v>
      </c>
      <c r="K16" s="36">
        <v>1</v>
      </c>
      <c r="L16" s="19" t="s">
        <v>276</v>
      </c>
      <c r="M16" s="23" t="s">
        <v>371</v>
      </c>
      <c r="N16" s="23" t="s">
        <v>372</v>
      </c>
      <c r="O16" s="20" t="s">
        <v>217</v>
      </c>
      <c r="P16" s="17" t="s">
        <v>373</v>
      </c>
      <c r="Q16" s="37">
        <v>1</v>
      </c>
      <c r="R16" s="20">
        <v>0</v>
      </c>
      <c r="S16" s="20">
        <v>0</v>
      </c>
      <c r="T16" s="36">
        <v>3</v>
      </c>
      <c r="U16" s="19" t="s">
        <v>374</v>
      </c>
      <c r="V16" s="19" t="s">
        <v>375</v>
      </c>
      <c r="W16" s="20">
        <v>10</v>
      </c>
      <c r="X16" s="20" t="s">
        <v>376</v>
      </c>
      <c r="Y16" s="49" t="s">
        <v>33</v>
      </c>
    </row>
    <row r="17" spans="1:25" ht="33" x14ac:dyDescent="0.3">
      <c r="A17" s="25">
        <v>16</v>
      </c>
      <c r="B17" s="25" t="s">
        <v>290</v>
      </c>
      <c r="C17" s="52" t="s">
        <v>291</v>
      </c>
      <c r="D17" s="26" t="s">
        <v>332</v>
      </c>
      <c r="E17" s="28" t="s">
        <v>33</v>
      </c>
      <c r="F17" s="28" t="s">
        <v>103</v>
      </c>
      <c r="G17" s="26" t="s">
        <v>369</v>
      </c>
      <c r="H17" s="28" t="s">
        <v>370</v>
      </c>
      <c r="I17" s="33">
        <v>3.8999999999999998E-3</v>
      </c>
      <c r="J17" s="30">
        <v>49.99</v>
      </c>
      <c r="K17" s="39">
        <v>1</v>
      </c>
      <c r="L17" s="28" t="s">
        <v>276</v>
      </c>
      <c r="M17" s="29" t="s">
        <v>371</v>
      </c>
      <c r="N17" s="29" t="s">
        <v>372</v>
      </c>
      <c r="O17" s="32" t="s">
        <v>217</v>
      </c>
      <c r="P17" s="26" t="s">
        <v>373</v>
      </c>
      <c r="Q17" s="41">
        <v>1</v>
      </c>
      <c r="R17" s="32">
        <v>0</v>
      </c>
      <c r="S17" s="32">
        <v>0</v>
      </c>
      <c r="T17" s="39">
        <v>3</v>
      </c>
      <c r="U17" s="28" t="s">
        <v>374</v>
      </c>
      <c r="V17" s="28" t="s">
        <v>375</v>
      </c>
      <c r="W17" s="32">
        <v>10</v>
      </c>
      <c r="X17" s="32" t="s">
        <v>376</v>
      </c>
      <c r="Y17" s="41" t="s">
        <v>33</v>
      </c>
    </row>
    <row r="18" spans="1:25" ht="66" x14ac:dyDescent="0.3">
      <c r="A18" s="16">
        <v>17</v>
      </c>
      <c r="B18" s="16" t="s">
        <v>293</v>
      </c>
      <c r="C18" s="51" t="s">
        <v>294</v>
      </c>
      <c r="D18" s="17" t="s">
        <v>377</v>
      </c>
      <c r="E18" s="19" t="s">
        <v>33</v>
      </c>
      <c r="F18" s="19" t="s">
        <v>103</v>
      </c>
      <c r="G18" s="17" t="s">
        <v>378</v>
      </c>
      <c r="H18" s="19" t="s">
        <v>379</v>
      </c>
      <c r="I18" s="24">
        <v>1.1999999999999999E-3</v>
      </c>
      <c r="J18" s="21">
        <v>49.99</v>
      </c>
      <c r="K18" s="36">
        <v>1</v>
      </c>
      <c r="L18" s="19" t="s">
        <v>296</v>
      </c>
      <c r="M18" s="23" t="s">
        <v>380</v>
      </c>
      <c r="N18" s="23" t="s">
        <v>381</v>
      </c>
      <c r="O18" s="20" t="s">
        <v>217</v>
      </c>
      <c r="P18" s="17" t="s">
        <v>382</v>
      </c>
      <c r="Q18" s="37">
        <v>1</v>
      </c>
      <c r="R18" s="20">
        <v>0</v>
      </c>
      <c r="S18" s="20">
        <v>0</v>
      </c>
      <c r="T18" s="36">
        <v>3</v>
      </c>
      <c r="U18" s="19" t="s">
        <v>383</v>
      </c>
      <c r="V18" s="19" t="s">
        <v>384</v>
      </c>
      <c r="W18" s="20">
        <v>10</v>
      </c>
      <c r="X18" s="20" t="s">
        <v>385</v>
      </c>
      <c r="Y18" s="49" t="s">
        <v>33</v>
      </c>
    </row>
    <row r="19" spans="1:25" ht="66" x14ac:dyDescent="0.3">
      <c r="A19" s="25">
        <v>18</v>
      </c>
      <c r="B19" s="25" t="s">
        <v>299</v>
      </c>
      <c r="C19" s="52" t="s">
        <v>300</v>
      </c>
      <c r="D19" s="26" t="s">
        <v>377</v>
      </c>
      <c r="E19" s="28" t="s">
        <v>33</v>
      </c>
      <c r="F19" s="28" t="s">
        <v>103</v>
      </c>
      <c r="G19" s="26" t="s">
        <v>378</v>
      </c>
      <c r="H19" s="28" t="s">
        <v>379</v>
      </c>
      <c r="I19" s="33">
        <v>1.1999999999999999E-3</v>
      </c>
      <c r="J19" s="30">
        <v>49.99</v>
      </c>
      <c r="K19" s="39">
        <v>1</v>
      </c>
      <c r="L19" s="28" t="s">
        <v>296</v>
      </c>
      <c r="M19" s="29" t="s">
        <v>380</v>
      </c>
      <c r="N19" s="29" t="s">
        <v>381</v>
      </c>
      <c r="O19" s="32" t="s">
        <v>217</v>
      </c>
      <c r="P19" s="26" t="s">
        <v>382</v>
      </c>
      <c r="Q19" s="41">
        <v>1</v>
      </c>
      <c r="R19" s="32">
        <v>0</v>
      </c>
      <c r="S19" s="32">
        <v>0</v>
      </c>
      <c r="T19" s="39">
        <v>3</v>
      </c>
      <c r="U19" s="28" t="s">
        <v>383</v>
      </c>
      <c r="V19" s="28" t="s">
        <v>384</v>
      </c>
      <c r="W19" s="32">
        <v>10</v>
      </c>
      <c r="X19" s="32" t="s">
        <v>385</v>
      </c>
      <c r="Y19" s="41" t="s">
        <v>33</v>
      </c>
    </row>
    <row r="20" spans="1:25" ht="66" x14ac:dyDescent="0.3">
      <c r="A20" s="16">
        <v>19</v>
      </c>
      <c r="B20" s="16" t="s">
        <v>301</v>
      </c>
      <c r="C20" s="51" t="s">
        <v>302</v>
      </c>
      <c r="D20" s="17" t="s">
        <v>377</v>
      </c>
      <c r="E20" s="19" t="s">
        <v>33</v>
      </c>
      <c r="F20" s="19" t="s">
        <v>103</v>
      </c>
      <c r="G20" s="17" t="s">
        <v>378</v>
      </c>
      <c r="H20" s="19" t="s">
        <v>379</v>
      </c>
      <c r="I20" s="24">
        <v>1.1999999999999999E-3</v>
      </c>
      <c r="J20" s="21">
        <v>49.99</v>
      </c>
      <c r="K20" s="36">
        <v>1</v>
      </c>
      <c r="L20" s="19" t="s">
        <v>296</v>
      </c>
      <c r="M20" s="23" t="s">
        <v>380</v>
      </c>
      <c r="N20" s="23" t="s">
        <v>381</v>
      </c>
      <c r="O20" s="20" t="s">
        <v>217</v>
      </c>
      <c r="P20" s="17" t="s">
        <v>382</v>
      </c>
      <c r="Q20" s="37">
        <v>1</v>
      </c>
      <c r="R20" s="20">
        <v>0</v>
      </c>
      <c r="S20" s="20">
        <v>0</v>
      </c>
      <c r="T20" s="36">
        <v>3</v>
      </c>
      <c r="U20" s="19" t="s">
        <v>383</v>
      </c>
      <c r="V20" s="19" t="s">
        <v>384</v>
      </c>
      <c r="W20" s="20">
        <v>10</v>
      </c>
      <c r="X20" s="20" t="s">
        <v>385</v>
      </c>
      <c r="Y20" s="49" t="s">
        <v>33</v>
      </c>
    </row>
    <row r="21" spans="1:25" ht="66" x14ac:dyDescent="0.3">
      <c r="A21" s="25">
        <v>20</v>
      </c>
      <c r="B21" s="25" t="s">
        <v>303</v>
      </c>
      <c r="C21" s="52" t="s">
        <v>304</v>
      </c>
      <c r="D21" s="26" t="s">
        <v>377</v>
      </c>
      <c r="E21" s="28" t="s">
        <v>33</v>
      </c>
      <c r="F21" s="28" t="s">
        <v>103</v>
      </c>
      <c r="G21" s="26" t="s">
        <v>378</v>
      </c>
      <c r="H21" s="28" t="s">
        <v>379</v>
      </c>
      <c r="I21" s="33">
        <v>1.1999999999999999E-3</v>
      </c>
      <c r="J21" s="30">
        <v>49.99</v>
      </c>
      <c r="K21" s="39">
        <v>1</v>
      </c>
      <c r="L21" s="28" t="s">
        <v>296</v>
      </c>
      <c r="M21" s="29" t="s">
        <v>380</v>
      </c>
      <c r="N21" s="29" t="s">
        <v>381</v>
      </c>
      <c r="O21" s="32" t="s">
        <v>217</v>
      </c>
      <c r="P21" s="26" t="s">
        <v>382</v>
      </c>
      <c r="Q21" s="41">
        <v>1</v>
      </c>
      <c r="R21" s="32">
        <v>0</v>
      </c>
      <c r="S21" s="32">
        <v>0</v>
      </c>
      <c r="T21" s="39">
        <v>3</v>
      </c>
      <c r="U21" s="28" t="s">
        <v>383</v>
      </c>
      <c r="V21" s="28" t="s">
        <v>384</v>
      </c>
      <c r="W21" s="32">
        <v>10</v>
      </c>
      <c r="X21" s="32" t="s">
        <v>385</v>
      </c>
      <c r="Y21" s="41" t="s">
        <v>33</v>
      </c>
    </row>
    <row r="22" spans="1:25" ht="66" x14ac:dyDescent="0.3">
      <c r="A22" s="16">
        <v>21</v>
      </c>
      <c r="B22" s="16" t="s">
        <v>305</v>
      </c>
      <c r="C22" s="51" t="s">
        <v>306</v>
      </c>
      <c r="D22" s="17" t="s">
        <v>377</v>
      </c>
      <c r="E22" s="19" t="s">
        <v>33</v>
      </c>
      <c r="F22" s="19" t="s">
        <v>103</v>
      </c>
      <c r="G22" s="17" t="s">
        <v>378</v>
      </c>
      <c r="H22" s="19" t="s">
        <v>379</v>
      </c>
      <c r="I22" s="24">
        <v>1.1999999999999999E-3</v>
      </c>
      <c r="J22" s="21">
        <v>49.99</v>
      </c>
      <c r="K22" s="36">
        <v>1</v>
      </c>
      <c r="L22" s="19" t="s">
        <v>296</v>
      </c>
      <c r="M22" s="23" t="s">
        <v>380</v>
      </c>
      <c r="N22" s="23" t="s">
        <v>381</v>
      </c>
      <c r="O22" s="20" t="s">
        <v>217</v>
      </c>
      <c r="P22" s="17" t="s">
        <v>382</v>
      </c>
      <c r="Q22" s="37">
        <v>1</v>
      </c>
      <c r="R22" s="20">
        <v>0</v>
      </c>
      <c r="S22" s="20">
        <v>0</v>
      </c>
      <c r="T22" s="36">
        <v>3</v>
      </c>
      <c r="U22" s="19" t="s">
        <v>383</v>
      </c>
      <c r="V22" s="19" t="s">
        <v>384</v>
      </c>
      <c r="W22" s="20">
        <v>10</v>
      </c>
      <c r="X22" s="20" t="s">
        <v>385</v>
      </c>
      <c r="Y22" s="49" t="s">
        <v>33</v>
      </c>
    </row>
    <row r="23" spans="1:25" ht="49.5" x14ac:dyDescent="0.3">
      <c r="A23" s="25">
        <v>22</v>
      </c>
      <c r="B23" s="25" t="s">
        <v>307</v>
      </c>
      <c r="C23" s="52" t="s">
        <v>308</v>
      </c>
      <c r="D23" s="26" t="s">
        <v>377</v>
      </c>
      <c r="E23" s="28" t="s">
        <v>33</v>
      </c>
      <c r="F23" s="28" t="s">
        <v>103</v>
      </c>
      <c r="G23" s="26" t="s">
        <v>378</v>
      </c>
      <c r="H23" s="28" t="s">
        <v>379</v>
      </c>
      <c r="I23" s="33">
        <v>1.1999999999999999E-3</v>
      </c>
      <c r="J23" s="30">
        <v>49.99</v>
      </c>
      <c r="K23" s="39">
        <v>1</v>
      </c>
      <c r="L23" s="28" t="s">
        <v>296</v>
      </c>
      <c r="M23" s="29" t="s">
        <v>380</v>
      </c>
      <c r="N23" s="29" t="s">
        <v>381</v>
      </c>
      <c r="O23" s="32" t="s">
        <v>217</v>
      </c>
      <c r="P23" s="26" t="s">
        <v>382</v>
      </c>
      <c r="Q23" s="41">
        <v>1</v>
      </c>
      <c r="R23" s="32">
        <v>0</v>
      </c>
      <c r="S23" s="32">
        <v>0</v>
      </c>
      <c r="T23" s="39">
        <v>3</v>
      </c>
      <c r="U23" s="28" t="s">
        <v>383</v>
      </c>
      <c r="V23" s="28" t="s">
        <v>384</v>
      </c>
      <c r="W23" s="32">
        <v>10</v>
      </c>
      <c r="X23" s="32" t="s">
        <v>385</v>
      </c>
      <c r="Y23" s="41" t="s">
        <v>33</v>
      </c>
    </row>
    <row r="24" spans="1:25" ht="49.5" x14ac:dyDescent="0.3">
      <c r="A24" s="16">
        <v>23</v>
      </c>
      <c r="B24" s="16" t="s">
        <v>309</v>
      </c>
      <c r="C24" s="51" t="s">
        <v>310</v>
      </c>
      <c r="D24" s="17" t="s">
        <v>377</v>
      </c>
      <c r="E24" s="19" t="s">
        <v>33</v>
      </c>
      <c r="F24" s="19" t="s">
        <v>103</v>
      </c>
      <c r="G24" s="17" t="s">
        <v>378</v>
      </c>
      <c r="H24" s="19" t="s">
        <v>379</v>
      </c>
      <c r="I24" s="24">
        <v>1.1999999999999999E-3</v>
      </c>
      <c r="J24" s="21">
        <v>49.99</v>
      </c>
      <c r="K24" s="36">
        <v>1</v>
      </c>
      <c r="L24" s="19" t="s">
        <v>296</v>
      </c>
      <c r="M24" s="23" t="s">
        <v>380</v>
      </c>
      <c r="N24" s="23" t="s">
        <v>381</v>
      </c>
      <c r="O24" s="20" t="s">
        <v>217</v>
      </c>
      <c r="P24" s="17" t="s">
        <v>382</v>
      </c>
      <c r="Q24" s="37">
        <v>1</v>
      </c>
      <c r="R24" s="20">
        <v>0</v>
      </c>
      <c r="S24" s="20">
        <v>0</v>
      </c>
      <c r="T24" s="36">
        <v>3</v>
      </c>
      <c r="U24" s="19" t="s">
        <v>383</v>
      </c>
      <c r="V24" s="19" t="s">
        <v>384</v>
      </c>
      <c r="W24" s="20">
        <v>10</v>
      </c>
      <c r="X24" s="20" t="s">
        <v>385</v>
      </c>
      <c r="Y24" s="49" t="s">
        <v>33</v>
      </c>
    </row>
    <row r="25" spans="1:25" ht="33" x14ac:dyDescent="0.3">
      <c r="A25" s="25">
        <v>24</v>
      </c>
      <c r="B25" s="25" t="s">
        <v>311</v>
      </c>
      <c r="C25" s="52" t="s">
        <v>312</v>
      </c>
      <c r="D25" s="107" t="s">
        <v>386</v>
      </c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9"/>
    </row>
    <row r="26" spans="1:25" ht="33" x14ac:dyDescent="0.3">
      <c r="A26" s="16">
        <v>25</v>
      </c>
      <c r="B26" s="16" t="s">
        <v>315</v>
      </c>
      <c r="C26" s="51" t="s">
        <v>316</v>
      </c>
      <c r="D26" s="110" t="s">
        <v>386</v>
      </c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2"/>
    </row>
    <row r="27" spans="1:25" ht="49.5" x14ac:dyDescent="0.3">
      <c r="A27" s="25">
        <v>26</v>
      </c>
      <c r="B27" s="25" t="s">
        <v>317</v>
      </c>
      <c r="C27" s="52" t="s">
        <v>318</v>
      </c>
      <c r="D27" s="107" t="s">
        <v>387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9"/>
    </row>
    <row r="28" spans="1:25" ht="49.5" x14ac:dyDescent="0.3">
      <c r="A28" s="16">
        <v>27</v>
      </c>
      <c r="B28" s="16" t="s">
        <v>325</v>
      </c>
      <c r="C28" s="51" t="s">
        <v>326</v>
      </c>
      <c r="D28" s="110" t="s">
        <v>387</v>
      </c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2"/>
    </row>
    <row r="29" spans="1:25" ht="16.5" x14ac:dyDescent="0.3">
      <c r="G29" s="53" t="s">
        <v>116</v>
      </c>
      <c r="H29" s="53" t="s">
        <v>116</v>
      </c>
      <c r="I29" s="53"/>
      <c r="J29" s="53"/>
      <c r="L29" s="34" t="s">
        <v>117</v>
      </c>
      <c r="M29" s="34" t="s">
        <v>118</v>
      </c>
      <c r="N29" s="34" t="s">
        <v>119</v>
      </c>
      <c r="O29" s="34" t="s">
        <v>119</v>
      </c>
      <c r="P29" s="34" t="s">
        <v>234</v>
      </c>
      <c r="Q29" s="34"/>
      <c r="S29" s="34" t="s">
        <v>120</v>
      </c>
      <c r="T29" s="34"/>
      <c r="U29" s="34" t="s">
        <v>116</v>
      </c>
      <c r="V29" s="34" t="s">
        <v>116</v>
      </c>
      <c r="W29" s="54">
        <v>1.25</v>
      </c>
      <c r="X29" s="54" t="s">
        <v>388</v>
      </c>
    </row>
  </sheetData>
  <mergeCells count="4">
    <mergeCell ref="D25:Y25"/>
    <mergeCell ref="D26:Y26"/>
    <mergeCell ref="D27:Y27"/>
    <mergeCell ref="D28:Y28"/>
  </mergeCells>
  <phoneticPr fontId="16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32"/>
  <sheetViews>
    <sheetView zoomScale="80" zoomScaleNormal="80" workbookViewId="0">
      <pane ySplit="1" topLeftCell="A2" activePane="bottomLeft" state="frozen"/>
      <selection pane="bottomLeft" activeCell="M11" sqref="M11"/>
    </sheetView>
  </sheetViews>
  <sheetFormatPr defaultColWidth="9" defaultRowHeight="14" x14ac:dyDescent="0.3"/>
  <cols>
    <col min="1" max="1" width="5.5" style="12" customWidth="1"/>
    <col min="2" max="2" width="30.58203125" style="43" customWidth="1"/>
    <col min="3" max="3" width="77.58203125" style="12" customWidth="1"/>
    <col min="4" max="4" width="11.5" style="12" customWidth="1"/>
    <col min="5" max="5" width="10.75" style="44" customWidth="1"/>
    <col min="6" max="7" width="8.5" style="12" customWidth="1"/>
    <col min="8" max="8" width="6.08203125" style="12" customWidth="1"/>
    <col min="9" max="9" width="11.08203125" style="44" customWidth="1"/>
    <col min="10" max="11" width="8.5" style="12" customWidth="1"/>
    <col min="12" max="12" width="13.25" style="12" customWidth="1"/>
    <col min="13" max="13" width="10.75" style="45" customWidth="1"/>
    <col min="14" max="14" width="14" style="43" customWidth="1"/>
    <col min="15" max="15" width="13.25" style="43" customWidth="1"/>
    <col min="16" max="16" width="15.58203125" style="12" customWidth="1"/>
    <col min="17" max="17" width="31.5" style="12" customWidth="1"/>
    <col min="18" max="18" width="6.33203125" style="12" customWidth="1"/>
    <col min="19" max="19" width="17.08203125" style="12" customWidth="1"/>
    <col min="20" max="20" width="17.75" style="12" customWidth="1"/>
    <col min="21" max="21" width="6.33203125" style="12" customWidth="1"/>
    <col min="22" max="22" width="4.58203125" style="12" customWidth="1"/>
    <col min="23" max="23" width="16.08203125" style="12" customWidth="1"/>
    <col min="24" max="16384" width="9" style="12"/>
  </cols>
  <sheetData>
    <row r="1" spans="1:23" ht="16.5" x14ac:dyDescent="0.3">
      <c r="A1" s="15" t="s">
        <v>0</v>
      </c>
      <c r="B1" s="15" t="s">
        <v>1</v>
      </c>
      <c r="C1" s="15" t="s">
        <v>2</v>
      </c>
      <c r="D1" s="15" t="s">
        <v>3</v>
      </c>
      <c r="E1" s="46" t="s">
        <v>4</v>
      </c>
      <c r="F1" s="15" t="s">
        <v>5</v>
      </c>
      <c r="G1" s="15" t="s">
        <v>6</v>
      </c>
      <c r="H1" s="15" t="s">
        <v>7</v>
      </c>
      <c r="I1" s="46" t="s">
        <v>8</v>
      </c>
      <c r="J1" s="15" t="s">
        <v>9</v>
      </c>
      <c r="K1" s="15" t="s">
        <v>121</v>
      </c>
      <c r="L1" s="15" t="s">
        <v>122</v>
      </c>
      <c r="M1" s="47" t="s">
        <v>12</v>
      </c>
      <c r="N1" s="15" t="s">
        <v>13</v>
      </c>
      <c r="O1" s="15" t="s">
        <v>14</v>
      </c>
      <c r="P1" s="15" t="s">
        <v>16</v>
      </c>
      <c r="Q1" s="15" t="s">
        <v>15</v>
      </c>
      <c r="R1" s="15" t="s">
        <v>17</v>
      </c>
      <c r="S1" s="15" t="s">
        <v>123</v>
      </c>
      <c r="T1" s="15" t="s">
        <v>18</v>
      </c>
      <c r="U1" s="15" t="s">
        <v>19</v>
      </c>
      <c r="V1" s="15" t="s">
        <v>20</v>
      </c>
      <c r="W1" s="15" t="s">
        <v>21</v>
      </c>
    </row>
    <row r="2" spans="1:23" s="42" customFormat="1" ht="16.5" x14ac:dyDescent="0.3">
      <c r="A2" s="16">
        <v>1</v>
      </c>
      <c r="B2" s="16" t="s">
        <v>389</v>
      </c>
      <c r="C2" s="35" t="s">
        <v>390</v>
      </c>
      <c r="D2" s="101" t="s">
        <v>598</v>
      </c>
      <c r="E2" s="48" t="s">
        <v>24</v>
      </c>
      <c r="F2" s="19" t="s">
        <v>24</v>
      </c>
      <c r="G2" s="17" t="s">
        <v>24</v>
      </c>
      <c r="H2" s="19" t="s">
        <v>24</v>
      </c>
      <c r="I2" s="48">
        <v>6</v>
      </c>
      <c r="J2" s="21" t="s">
        <v>24</v>
      </c>
      <c r="K2" s="36" t="s">
        <v>24</v>
      </c>
      <c r="L2" s="19" t="s">
        <v>24</v>
      </c>
      <c r="M2" s="23">
        <v>0.92110000000000003</v>
      </c>
      <c r="N2" s="23" t="s">
        <v>391</v>
      </c>
      <c r="O2" s="20" t="s">
        <v>392</v>
      </c>
      <c r="P2" s="17" t="s">
        <v>31</v>
      </c>
      <c r="Q2" s="37" t="s">
        <v>393</v>
      </c>
      <c r="R2" s="20" t="s">
        <v>130</v>
      </c>
      <c r="S2" s="20" t="s">
        <v>255</v>
      </c>
      <c r="T2" s="36"/>
      <c r="U2" s="19" t="s">
        <v>34</v>
      </c>
      <c r="V2" s="19"/>
      <c r="W2" s="20"/>
    </row>
    <row r="3" spans="1:23" s="13" customFormat="1" ht="16.5" x14ac:dyDescent="0.3">
      <c r="A3" s="25">
        <v>2</v>
      </c>
      <c r="B3" s="25" t="s">
        <v>394</v>
      </c>
      <c r="C3" s="38" t="s">
        <v>395</v>
      </c>
      <c r="D3" s="102" t="s">
        <v>598</v>
      </c>
      <c r="E3" s="50" t="s">
        <v>24</v>
      </c>
      <c r="F3" s="28" t="s">
        <v>24</v>
      </c>
      <c r="G3" s="26" t="s">
        <v>24</v>
      </c>
      <c r="H3" s="28" t="s">
        <v>24</v>
      </c>
      <c r="I3" s="50">
        <v>6</v>
      </c>
      <c r="J3" s="30" t="s">
        <v>24</v>
      </c>
      <c r="K3" s="39" t="s">
        <v>24</v>
      </c>
      <c r="L3" s="28" t="s">
        <v>24</v>
      </c>
      <c r="M3" s="29">
        <v>0.92110000000000003</v>
      </c>
      <c r="N3" s="29" t="s">
        <v>391</v>
      </c>
      <c r="O3" s="32" t="s">
        <v>392</v>
      </c>
      <c r="P3" s="32" t="s">
        <v>31</v>
      </c>
      <c r="Q3" s="41" t="s">
        <v>393</v>
      </c>
      <c r="R3" s="32" t="s">
        <v>130</v>
      </c>
      <c r="S3" s="32" t="s">
        <v>255</v>
      </c>
      <c r="T3" s="39"/>
      <c r="U3" s="28" t="s">
        <v>34</v>
      </c>
      <c r="V3" s="28"/>
      <c r="W3" s="32"/>
    </row>
    <row r="4" spans="1:23" s="42" customFormat="1" ht="16.5" x14ac:dyDescent="0.3">
      <c r="A4" s="16">
        <v>3</v>
      </c>
      <c r="B4" s="16" t="s">
        <v>396</v>
      </c>
      <c r="C4" s="35" t="s">
        <v>397</v>
      </c>
      <c r="D4" s="101" t="s">
        <v>597</v>
      </c>
      <c r="E4" s="48" t="s">
        <v>24</v>
      </c>
      <c r="F4" s="19" t="s">
        <v>24</v>
      </c>
      <c r="G4" s="17" t="s">
        <v>24</v>
      </c>
      <c r="H4" s="19" t="s">
        <v>24</v>
      </c>
      <c r="I4" s="48">
        <v>6</v>
      </c>
      <c r="J4" s="21" t="s">
        <v>24</v>
      </c>
      <c r="K4" s="36" t="s">
        <v>24</v>
      </c>
      <c r="L4" s="19" t="s">
        <v>24</v>
      </c>
      <c r="M4" s="23">
        <v>0.92110000000000003</v>
      </c>
      <c r="N4" s="23" t="s">
        <v>391</v>
      </c>
      <c r="O4" s="20" t="s">
        <v>392</v>
      </c>
      <c r="P4" s="17" t="s">
        <v>31</v>
      </c>
      <c r="Q4" s="37" t="s">
        <v>393</v>
      </c>
      <c r="R4" s="20" t="s">
        <v>130</v>
      </c>
      <c r="S4" s="20" t="s">
        <v>255</v>
      </c>
      <c r="T4" s="36"/>
      <c r="U4" s="19" t="s">
        <v>34</v>
      </c>
      <c r="V4" s="19"/>
      <c r="W4" s="20"/>
    </row>
    <row r="5" spans="1:23" s="13" customFormat="1" ht="16.5" x14ac:dyDescent="0.3">
      <c r="A5" s="25">
        <v>4</v>
      </c>
      <c r="B5" s="25" t="s">
        <v>398</v>
      </c>
      <c r="C5" s="38" t="s">
        <v>399</v>
      </c>
      <c r="D5" s="102" t="s">
        <v>597</v>
      </c>
      <c r="E5" s="50" t="s">
        <v>24</v>
      </c>
      <c r="F5" s="28" t="s">
        <v>24</v>
      </c>
      <c r="G5" s="26" t="s">
        <v>24</v>
      </c>
      <c r="H5" s="28" t="s">
        <v>24</v>
      </c>
      <c r="I5" s="50">
        <v>6</v>
      </c>
      <c r="J5" s="30" t="s">
        <v>24</v>
      </c>
      <c r="K5" s="39" t="s">
        <v>24</v>
      </c>
      <c r="L5" s="28" t="s">
        <v>24</v>
      </c>
      <c r="M5" s="29">
        <v>0.92110000000000003</v>
      </c>
      <c r="N5" s="29" t="s">
        <v>391</v>
      </c>
      <c r="O5" s="32" t="s">
        <v>392</v>
      </c>
      <c r="P5" s="32" t="s">
        <v>31</v>
      </c>
      <c r="Q5" s="41" t="s">
        <v>393</v>
      </c>
      <c r="R5" s="32" t="s">
        <v>130</v>
      </c>
      <c r="S5" s="32" t="s">
        <v>255</v>
      </c>
      <c r="T5" s="39"/>
      <c r="U5" s="28" t="s">
        <v>34</v>
      </c>
      <c r="V5" s="28"/>
      <c r="W5" s="32"/>
    </row>
    <row r="6" spans="1:23" s="42" customFormat="1" ht="16.5" x14ac:dyDescent="0.3">
      <c r="A6" s="16">
        <v>5</v>
      </c>
      <c r="B6" s="16" t="s">
        <v>400</v>
      </c>
      <c r="C6" s="35" t="s">
        <v>401</v>
      </c>
      <c r="D6" s="101" t="s">
        <v>597</v>
      </c>
      <c r="E6" s="48" t="s">
        <v>24</v>
      </c>
      <c r="F6" s="19" t="s">
        <v>24</v>
      </c>
      <c r="G6" s="17" t="s">
        <v>24</v>
      </c>
      <c r="H6" s="19" t="s">
        <v>24</v>
      </c>
      <c r="I6" s="48">
        <v>8</v>
      </c>
      <c r="J6" s="21" t="s">
        <v>24</v>
      </c>
      <c r="K6" s="36" t="s">
        <v>24</v>
      </c>
      <c r="L6" s="19" t="s">
        <v>24</v>
      </c>
      <c r="M6" s="23">
        <v>0.92110000000000003</v>
      </c>
      <c r="N6" s="23" t="s">
        <v>391</v>
      </c>
      <c r="O6" s="20" t="s">
        <v>392</v>
      </c>
      <c r="P6" s="17" t="s">
        <v>31</v>
      </c>
      <c r="Q6" s="37" t="s">
        <v>393</v>
      </c>
      <c r="R6" s="20" t="s">
        <v>130</v>
      </c>
      <c r="S6" s="20" t="s">
        <v>255</v>
      </c>
      <c r="T6" s="36"/>
      <c r="U6" s="19" t="s">
        <v>34</v>
      </c>
      <c r="V6" s="19"/>
      <c r="W6" s="20"/>
    </row>
    <row r="7" spans="1:23" s="13" customFormat="1" ht="16.5" x14ac:dyDescent="0.3">
      <c r="A7" s="25">
        <v>6</v>
      </c>
      <c r="B7" s="25" t="s">
        <v>402</v>
      </c>
      <c r="C7" s="38" t="s">
        <v>403</v>
      </c>
      <c r="D7" s="102" t="s">
        <v>597</v>
      </c>
      <c r="E7" s="50" t="s">
        <v>24</v>
      </c>
      <c r="F7" s="28" t="s">
        <v>24</v>
      </c>
      <c r="G7" s="26" t="s">
        <v>24</v>
      </c>
      <c r="H7" s="28" t="s">
        <v>24</v>
      </c>
      <c r="I7" s="50">
        <v>8</v>
      </c>
      <c r="J7" s="30" t="s">
        <v>24</v>
      </c>
      <c r="K7" s="39" t="s">
        <v>24</v>
      </c>
      <c r="L7" s="28" t="s">
        <v>24</v>
      </c>
      <c r="M7" s="29">
        <v>0.92110000000000003</v>
      </c>
      <c r="N7" s="29" t="s">
        <v>391</v>
      </c>
      <c r="O7" s="32" t="s">
        <v>392</v>
      </c>
      <c r="P7" s="32" t="s">
        <v>31</v>
      </c>
      <c r="Q7" s="41" t="s">
        <v>393</v>
      </c>
      <c r="R7" s="32" t="s">
        <v>130</v>
      </c>
      <c r="S7" s="32" t="s">
        <v>255</v>
      </c>
      <c r="T7" s="39"/>
      <c r="U7" s="28" t="s">
        <v>34</v>
      </c>
      <c r="V7" s="28"/>
      <c r="W7" s="32"/>
    </row>
    <row r="8" spans="1:23" s="42" customFormat="1" ht="16.5" x14ac:dyDescent="0.3">
      <c r="A8" s="16">
        <v>7</v>
      </c>
      <c r="B8" s="16" t="s">
        <v>404</v>
      </c>
      <c r="C8" s="35" t="s">
        <v>405</v>
      </c>
      <c r="D8" s="101" t="s">
        <v>597</v>
      </c>
      <c r="E8" s="48" t="s">
        <v>24</v>
      </c>
      <c r="F8" s="19" t="s">
        <v>24</v>
      </c>
      <c r="G8" s="17" t="s">
        <v>24</v>
      </c>
      <c r="H8" s="19" t="s">
        <v>24</v>
      </c>
      <c r="I8" s="48">
        <v>16</v>
      </c>
      <c r="J8" s="21" t="s">
        <v>24</v>
      </c>
      <c r="K8" s="36" t="s">
        <v>24</v>
      </c>
      <c r="L8" s="19" t="s">
        <v>24</v>
      </c>
      <c r="M8" s="23">
        <v>0.92110000000000003</v>
      </c>
      <c r="N8" s="23" t="s">
        <v>391</v>
      </c>
      <c r="O8" s="20" t="s">
        <v>392</v>
      </c>
      <c r="P8" s="17" t="s">
        <v>31</v>
      </c>
      <c r="Q8" s="37" t="s">
        <v>393</v>
      </c>
      <c r="R8" s="20" t="s">
        <v>130</v>
      </c>
      <c r="S8" s="20" t="s">
        <v>255</v>
      </c>
      <c r="T8" s="36"/>
      <c r="U8" s="19" t="s">
        <v>34</v>
      </c>
      <c r="V8" s="19"/>
      <c r="W8" s="20"/>
    </row>
    <row r="9" spans="1:23" s="13" customFormat="1" ht="16.5" x14ac:dyDescent="0.3">
      <c r="A9" s="25">
        <v>8</v>
      </c>
      <c r="B9" s="25" t="s">
        <v>406</v>
      </c>
      <c r="C9" s="38" t="s">
        <v>407</v>
      </c>
      <c r="D9" s="102" t="s">
        <v>597</v>
      </c>
      <c r="E9" s="50">
        <v>8</v>
      </c>
      <c r="F9" s="28" t="s">
        <v>190</v>
      </c>
      <c r="G9" s="26" t="s">
        <v>190</v>
      </c>
      <c r="H9" s="28" t="s">
        <v>24</v>
      </c>
      <c r="I9" s="50">
        <v>16</v>
      </c>
      <c r="J9" s="30" t="s">
        <v>24</v>
      </c>
      <c r="K9" s="39" t="s">
        <v>24</v>
      </c>
      <c r="L9" s="28" t="s">
        <v>24</v>
      </c>
      <c r="M9" s="29">
        <v>0.92110000000000003</v>
      </c>
      <c r="N9" s="29" t="s">
        <v>391</v>
      </c>
      <c r="O9" s="32" t="s">
        <v>392</v>
      </c>
      <c r="P9" s="32" t="s">
        <v>31</v>
      </c>
      <c r="Q9" s="41" t="s">
        <v>393</v>
      </c>
      <c r="R9" s="32" t="s">
        <v>130</v>
      </c>
      <c r="S9" s="32" t="s">
        <v>255</v>
      </c>
      <c r="T9" s="39"/>
      <c r="U9" s="28" t="s">
        <v>34</v>
      </c>
      <c r="V9" s="28"/>
      <c r="W9" s="32"/>
    </row>
    <row r="10" spans="1:23" s="42" customFormat="1" ht="16.5" x14ac:dyDescent="0.3">
      <c r="A10" s="16">
        <v>9</v>
      </c>
      <c r="B10" s="16" t="s">
        <v>408</v>
      </c>
      <c r="C10" s="35" t="s">
        <v>409</v>
      </c>
      <c r="D10" s="101" t="s">
        <v>597</v>
      </c>
      <c r="E10" s="48">
        <v>8</v>
      </c>
      <c r="F10" s="19" t="s">
        <v>190</v>
      </c>
      <c r="G10" s="17" t="s">
        <v>190</v>
      </c>
      <c r="H10" s="19" t="s">
        <v>24</v>
      </c>
      <c r="I10" s="48">
        <v>16</v>
      </c>
      <c r="J10" s="21" t="s">
        <v>24</v>
      </c>
      <c r="K10" s="36" t="s">
        <v>24</v>
      </c>
      <c r="L10" s="19" t="s">
        <v>24</v>
      </c>
      <c r="M10" s="23">
        <v>0.92110000000000003</v>
      </c>
      <c r="N10" s="23" t="s">
        <v>391</v>
      </c>
      <c r="O10" s="20" t="s">
        <v>392</v>
      </c>
      <c r="P10" s="17" t="s">
        <v>31</v>
      </c>
      <c r="Q10" s="37" t="s">
        <v>393</v>
      </c>
      <c r="R10" s="20" t="s">
        <v>130</v>
      </c>
      <c r="S10" s="20" t="s">
        <v>255</v>
      </c>
      <c r="T10" s="36"/>
      <c r="U10" s="19" t="s">
        <v>34</v>
      </c>
      <c r="V10" s="19"/>
      <c r="W10" s="20"/>
    </row>
    <row r="11" spans="1:23" s="13" customFormat="1" ht="16.5" x14ac:dyDescent="0.3">
      <c r="A11" s="25">
        <v>10</v>
      </c>
      <c r="B11" s="25" t="s">
        <v>410</v>
      </c>
      <c r="C11" s="38" t="s">
        <v>411</v>
      </c>
      <c r="D11" s="102">
        <v>0.8</v>
      </c>
      <c r="E11" s="50">
        <v>8</v>
      </c>
      <c r="F11" s="28" t="s">
        <v>190</v>
      </c>
      <c r="G11" s="26" t="s">
        <v>190</v>
      </c>
      <c r="H11" s="28" t="s">
        <v>24</v>
      </c>
      <c r="I11" s="50">
        <v>16</v>
      </c>
      <c r="J11" s="30" t="s">
        <v>24</v>
      </c>
      <c r="K11" s="39" t="s">
        <v>24</v>
      </c>
      <c r="L11" s="28" t="s">
        <v>24</v>
      </c>
      <c r="M11" s="29"/>
      <c r="N11" s="29"/>
      <c r="O11" s="32"/>
      <c r="P11" s="32" t="s">
        <v>31</v>
      </c>
      <c r="Q11" s="41" t="s">
        <v>393</v>
      </c>
      <c r="R11" s="32" t="s">
        <v>130</v>
      </c>
      <c r="S11" s="32" t="s">
        <v>255</v>
      </c>
      <c r="T11" s="39"/>
      <c r="U11" s="28"/>
      <c r="V11" s="28"/>
      <c r="W11" s="32"/>
    </row>
    <row r="12" spans="1:23" s="42" customFormat="1" ht="16.5" x14ac:dyDescent="0.3">
      <c r="A12" s="16">
        <v>11</v>
      </c>
      <c r="B12" s="16" t="s">
        <v>412</v>
      </c>
      <c r="C12" s="35" t="s">
        <v>413</v>
      </c>
      <c r="D12" s="101" t="s">
        <v>597</v>
      </c>
      <c r="E12" s="48">
        <v>8</v>
      </c>
      <c r="F12" s="19" t="s">
        <v>190</v>
      </c>
      <c r="G12" s="17" t="s">
        <v>190</v>
      </c>
      <c r="H12" s="19" t="s">
        <v>24</v>
      </c>
      <c r="I12" s="48">
        <v>16</v>
      </c>
      <c r="J12" s="21" t="s">
        <v>24</v>
      </c>
      <c r="K12" s="36" t="s">
        <v>24</v>
      </c>
      <c r="L12" s="19" t="s">
        <v>24</v>
      </c>
      <c r="M12" s="23">
        <v>0.95109999999999995</v>
      </c>
      <c r="N12" s="23" t="s">
        <v>414</v>
      </c>
      <c r="O12" s="20" t="s">
        <v>415</v>
      </c>
      <c r="P12" s="17" t="s">
        <v>31</v>
      </c>
      <c r="Q12" s="37" t="s">
        <v>416</v>
      </c>
      <c r="R12" s="20" t="s">
        <v>130</v>
      </c>
      <c r="S12" s="20" t="s">
        <v>255</v>
      </c>
      <c r="T12" s="36"/>
      <c r="U12" s="19" t="s">
        <v>34</v>
      </c>
      <c r="V12" s="19"/>
      <c r="W12" s="20"/>
    </row>
    <row r="13" spans="1:23" s="13" customFormat="1" ht="16.5" x14ac:dyDescent="0.3">
      <c r="A13" s="25">
        <v>12</v>
      </c>
      <c r="B13" s="25" t="s">
        <v>417</v>
      </c>
      <c r="C13" s="38" t="s">
        <v>418</v>
      </c>
      <c r="D13" s="102" t="s">
        <v>597</v>
      </c>
      <c r="E13" s="50">
        <v>8</v>
      </c>
      <c r="F13" s="28" t="s">
        <v>190</v>
      </c>
      <c r="G13" s="26" t="s">
        <v>190</v>
      </c>
      <c r="H13" s="28" t="s">
        <v>24</v>
      </c>
      <c r="I13" s="50">
        <v>16</v>
      </c>
      <c r="J13" s="30" t="s">
        <v>24</v>
      </c>
      <c r="K13" s="39" t="s">
        <v>24</v>
      </c>
      <c r="L13" s="28" t="s">
        <v>24</v>
      </c>
      <c r="M13" s="29">
        <v>0.95109999999999995</v>
      </c>
      <c r="N13" s="29" t="s">
        <v>414</v>
      </c>
      <c r="O13" s="32" t="s">
        <v>415</v>
      </c>
      <c r="P13" s="32" t="s">
        <v>31</v>
      </c>
      <c r="Q13" s="41" t="s">
        <v>416</v>
      </c>
      <c r="R13" s="32" t="s">
        <v>130</v>
      </c>
      <c r="S13" s="32" t="s">
        <v>255</v>
      </c>
      <c r="T13" s="39"/>
      <c r="U13" s="28" t="s">
        <v>34</v>
      </c>
      <c r="V13" s="28"/>
      <c r="W13" s="32"/>
    </row>
    <row r="14" spans="1:23" s="42" customFormat="1" ht="16.5" x14ac:dyDescent="0.3">
      <c r="A14" s="16">
        <v>13</v>
      </c>
      <c r="B14" s="16" t="s">
        <v>419</v>
      </c>
      <c r="C14" s="35" t="s">
        <v>420</v>
      </c>
      <c r="D14" s="101" t="s">
        <v>597</v>
      </c>
      <c r="E14" s="48">
        <v>8</v>
      </c>
      <c r="F14" s="19" t="s">
        <v>190</v>
      </c>
      <c r="G14" s="17" t="s">
        <v>190</v>
      </c>
      <c r="H14" s="19" t="s">
        <v>24</v>
      </c>
      <c r="I14" s="48">
        <v>16</v>
      </c>
      <c r="J14" s="21" t="s">
        <v>24</v>
      </c>
      <c r="K14" s="36" t="s">
        <v>24</v>
      </c>
      <c r="L14" s="19" t="s">
        <v>24</v>
      </c>
      <c r="M14" s="23">
        <v>0.95109999999999995</v>
      </c>
      <c r="N14" s="23" t="s">
        <v>414</v>
      </c>
      <c r="O14" s="20" t="s">
        <v>415</v>
      </c>
      <c r="P14" s="17" t="s">
        <v>31</v>
      </c>
      <c r="Q14" s="37" t="s">
        <v>416</v>
      </c>
      <c r="R14" s="20" t="s">
        <v>130</v>
      </c>
      <c r="S14" s="20" t="s">
        <v>255</v>
      </c>
      <c r="T14" s="36"/>
      <c r="U14" s="19" t="s">
        <v>34</v>
      </c>
      <c r="V14" s="19"/>
      <c r="W14" s="20"/>
    </row>
    <row r="15" spans="1:23" s="13" customFormat="1" ht="16.5" x14ac:dyDescent="0.3">
      <c r="A15" s="25">
        <v>14</v>
      </c>
      <c r="B15" s="25" t="s">
        <v>421</v>
      </c>
      <c r="C15" s="38" t="s">
        <v>422</v>
      </c>
      <c r="D15" s="102" t="s">
        <v>597</v>
      </c>
      <c r="E15" s="50">
        <v>8</v>
      </c>
      <c r="F15" s="28" t="s">
        <v>190</v>
      </c>
      <c r="G15" s="26" t="s">
        <v>190</v>
      </c>
      <c r="H15" s="28" t="s">
        <v>24</v>
      </c>
      <c r="I15" s="50">
        <v>32</v>
      </c>
      <c r="J15" s="30" t="s">
        <v>24</v>
      </c>
      <c r="K15" s="39" t="s">
        <v>24</v>
      </c>
      <c r="L15" s="28" t="s">
        <v>24</v>
      </c>
      <c r="M15" s="29">
        <v>0.95109999999999995</v>
      </c>
      <c r="N15" s="29" t="s">
        <v>414</v>
      </c>
      <c r="O15" s="32" t="s">
        <v>415</v>
      </c>
      <c r="P15" s="32" t="s">
        <v>31</v>
      </c>
      <c r="Q15" s="41" t="s">
        <v>416</v>
      </c>
      <c r="R15" s="32" t="s">
        <v>130</v>
      </c>
      <c r="S15" s="32" t="s">
        <v>255</v>
      </c>
      <c r="T15" s="39"/>
      <c r="U15" s="28" t="s">
        <v>34</v>
      </c>
      <c r="V15" s="28"/>
      <c r="W15" s="32"/>
    </row>
    <row r="16" spans="1:23" s="42" customFormat="1" ht="16.5" x14ac:dyDescent="0.3">
      <c r="A16" s="16">
        <v>15</v>
      </c>
      <c r="B16" s="16" t="s">
        <v>423</v>
      </c>
      <c r="C16" s="35" t="s">
        <v>424</v>
      </c>
      <c r="D16" s="101" t="s">
        <v>597</v>
      </c>
      <c r="E16" s="48">
        <v>8</v>
      </c>
      <c r="F16" s="19" t="s">
        <v>190</v>
      </c>
      <c r="G16" s="17" t="s">
        <v>190</v>
      </c>
      <c r="H16" s="19" t="s">
        <v>24</v>
      </c>
      <c r="I16" s="48">
        <v>32</v>
      </c>
      <c r="J16" s="21" t="s">
        <v>24</v>
      </c>
      <c r="K16" s="36" t="s">
        <v>24</v>
      </c>
      <c r="L16" s="19" t="s">
        <v>24</v>
      </c>
      <c r="M16" s="23">
        <v>0.95109999999999995</v>
      </c>
      <c r="N16" s="23" t="s">
        <v>414</v>
      </c>
      <c r="O16" s="20" t="s">
        <v>415</v>
      </c>
      <c r="P16" s="17" t="s">
        <v>31</v>
      </c>
      <c r="Q16" s="37" t="s">
        <v>416</v>
      </c>
      <c r="R16" s="20" t="s">
        <v>130</v>
      </c>
      <c r="S16" s="20" t="s">
        <v>255</v>
      </c>
      <c r="T16" s="36"/>
      <c r="U16" s="19" t="s">
        <v>34</v>
      </c>
      <c r="V16" s="19"/>
      <c r="W16" s="20"/>
    </row>
    <row r="17" spans="1:23" s="13" customFormat="1" ht="16.5" x14ac:dyDescent="0.3">
      <c r="A17" s="25">
        <v>16</v>
      </c>
      <c r="B17" s="25" t="s">
        <v>425</v>
      </c>
      <c r="C17" s="38" t="s">
        <v>426</v>
      </c>
      <c r="D17" s="102" t="s">
        <v>597</v>
      </c>
      <c r="E17" s="50">
        <v>8</v>
      </c>
      <c r="F17" s="28" t="s">
        <v>190</v>
      </c>
      <c r="G17" s="26" t="s">
        <v>190</v>
      </c>
      <c r="H17" s="28" t="s">
        <v>24</v>
      </c>
      <c r="I17" s="50">
        <v>32</v>
      </c>
      <c r="J17" s="30" t="s">
        <v>24</v>
      </c>
      <c r="K17" s="39" t="s">
        <v>24</v>
      </c>
      <c r="L17" s="28" t="s">
        <v>24</v>
      </c>
      <c r="M17" s="29">
        <v>0.95109999999999995</v>
      </c>
      <c r="N17" s="29" t="s">
        <v>414</v>
      </c>
      <c r="O17" s="32" t="s">
        <v>415</v>
      </c>
      <c r="P17" s="32" t="s">
        <v>31</v>
      </c>
      <c r="Q17" s="41" t="s">
        <v>416</v>
      </c>
      <c r="R17" s="32" t="s">
        <v>130</v>
      </c>
      <c r="S17" s="32" t="s">
        <v>255</v>
      </c>
      <c r="T17" s="39"/>
      <c r="U17" s="28" t="s">
        <v>34</v>
      </c>
      <c r="V17" s="28"/>
      <c r="W17" s="32"/>
    </row>
    <row r="18" spans="1:23" s="42" customFormat="1" ht="16.5" x14ac:dyDescent="0.3">
      <c r="A18" s="16">
        <v>17</v>
      </c>
      <c r="B18" s="16" t="s">
        <v>427</v>
      </c>
      <c r="C18" s="35" t="s">
        <v>428</v>
      </c>
      <c r="D18" s="101" t="s">
        <v>597</v>
      </c>
      <c r="E18" s="48">
        <v>8</v>
      </c>
      <c r="F18" s="19" t="s">
        <v>190</v>
      </c>
      <c r="G18" s="17" t="s">
        <v>190</v>
      </c>
      <c r="H18" s="19" t="s">
        <v>24</v>
      </c>
      <c r="I18" s="48">
        <v>32</v>
      </c>
      <c r="J18" s="21" t="s">
        <v>24</v>
      </c>
      <c r="K18" s="36" t="s">
        <v>24</v>
      </c>
      <c r="L18" s="19" t="s">
        <v>24</v>
      </c>
      <c r="M18" s="23">
        <v>0.95109999999999995</v>
      </c>
      <c r="N18" s="23" t="s">
        <v>414</v>
      </c>
      <c r="O18" s="20" t="s">
        <v>415</v>
      </c>
      <c r="P18" s="17" t="s">
        <v>31</v>
      </c>
      <c r="Q18" s="37" t="s">
        <v>416</v>
      </c>
      <c r="R18" s="20" t="s">
        <v>130</v>
      </c>
      <c r="S18" s="20" t="s">
        <v>255</v>
      </c>
      <c r="T18" s="36"/>
      <c r="U18" s="19" t="s">
        <v>34</v>
      </c>
      <c r="V18" s="19"/>
      <c r="W18" s="20"/>
    </row>
    <row r="19" spans="1:23" s="13" customFormat="1" ht="16.5" x14ac:dyDescent="0.3">
      <c r="A19" s="25">
        <v>18</v>
      </c>
      <c r="B19" s="25" t="s">
        <v>429</v>
      </c>
      <c r="C19" s="38" t="s">
        <v>430</v>
      </c>
      <c r="D19" s="102" t="s">
        <v>597</v>
      </c>
      <c r="E19" s="50">
        <v>6</v>
      </c>
      <c r="F19" s="28" t="s">
        <v>190</v>
      </c>
      <c r="G19" s="26" t="s">
        <v>190</v>
      </c>
      <c r="H19" s="28" t="s">
        <v>24</v>
      </c>
      <c r="I19" s="50" t="s">
        <v>431</v>
      </c>
      <c r="J19" s="30" t="s">
        <v>24</v>
      </c>
      <c r="K19" s="39" t="s">
        <v>67</v>
      </c>
      <c r="L19" s="28" t="s">
        <v>67</v>
      </c>
      <c r="M19" s="29">
        <v>0.95479999999999998</v>
      </c>
      <c r="N19" s="29" t="s">
        <v>432</v>
      </c>
      <c r="O19" s="32" t="s">
        <v>433</v>
      </c>
      <c r="P19" s="32" t="s">
        <v>434</v>
      </c>
      <c r="Q19" s="41" t="s">
        <v>163</v>
      </c>
      <c r="R19" s="32" t="s">
        <v>130</v>
      </c>
      <c r="S19" s="32" t="s">
        <v>255</v>
      </c>
      <c r="T19" s="39"/>
      <c r="U19" s="28" t="s">
        <v>34</v>
      </c>
      <c r="V19" s="28"/>
      <c r="W19" s="32"/>
    </row>
    <row r="20" spans="1:23" s="42" customFormat="1" ht="16.5" x14ac:dyDescent="0.3">
      <c r="A20" s="16">
        <v>19</v>
      </c>
      <c r="B20" s="16" t="s">
        <v>435</v>
      </c>
      <c r="C20" s="35" t="s">
        <v>436</v>
      </c>
      <c r="D20" s="101" t="s">
        <v>597</v>
      </c>
      <c r="E20" s="48">
        <v>6</v>
      </c>
      <c r="F20" s="19" t="s">
        <v>190</v>
      </c>
      <c r="G20" s="17" t="s">
        <v>190</v>
      </c>
      <c r="H20" s="19" t="s">
        <v>24</v>
      </c>
      <c r="I20" s="48" t="s">
        <v>431</v>
      </c>
      <c r="J20" s="21" t="s">
        <v>24</v>
      </c>
      <c r="K20" s="36" t="s">
        <v>67</v>
      </c>
      <c r="L20" s="19" t="s">
        <v>67</v>
      </c>
      <c r="M20" s="23">
        <v>0.95479999999999998</v>
      </c>
      <c r="N20" s="23" t="s">
        <v>432</v>
      </c>
      <c r="O20" s="20" t="s">
        <v>433</v>
      </c>
      <c r="P20" s="17" t="s">
        <v>434</v>
      </c>
      <c r="Q20" s="37" t="s">
        <v>163</v>
      </c>
      <c r="R20" s="20" t="s">
        <v>130</v>
      </c>
      <c r="S20" s="20" t="s">
        <v>255</v>
      </c>
      <c r="T20" s="36"/>
      <c r="U20" s="19" t="s">
        <v>34</v>
      </c>
      <c r="V20" s="19"/>
      <c r="W20" s="20"/>
    </row>
    <row r="21" spans="1:23" s="13" customFormat="1" ht="16.5" x14ac:dyDescent="0.3">
      <c r="A21" s="25">
        <v>20</v>
      </c>
      <c r="B21" s="25" t="s">
        <v>437</v>
      </c>
      <c r="C21" s="38" t="s">
        <v>438</v>
      </c>
      <c r="D21" s="102" t="s">
        <v>597</v>
      </c>
      <c r="E21" s="50">
        <v>6</v>
      </c>
      <c r="F21" s="28" t="s">
        <v>190</v>
      </c>
      <c r="G21" s="26" t="s">
        <v>190</v>
      </c>
      <c r="H21" s="28" t="s">
        <v>24</v>
      </c>
      <c r="I21" s="50" t="s">
        <v>431</v>
      </c>
      <c r="J21" s="30" t="s">
        <v>24</v>
      </c>
      <c r="K21" s="39" t="s">
        <v>67</v>
      </c>
      <c r="L21" s="28" t="s">
        <v>67</v>
      </c>
      <c r="M21" s="29">
        <v>0.95479999999999998</v>
      </c>
      <c r="N21" s="29" t="s">
        <v>432</v>
      </c>
      <c r="O21" s="32" t="s">
        <v>433</v>
      </c>
      <c r="P21" s="32" t="s">
        <v>434</v>
      </c>
      <c r="Q21" s="41" t="s">
        <v>163</v>
      </c>
      <c r="R21" s="32" t="s">
        <v>130</v>
      </c>
      <c r="S21" s="32" t="s">
        <v>255</v>
      </c>
      <c r="T21" s="39"/>
      <c r="U21" s="28" t="s">
        <v>34</v>
      </c>
      <c r="V21" s="28"/>
      <c r="W21" s="32"/>
    </row>
    <row r="22" spans="1:23" s="42" customFormat="1" ht="16.5" x14ac:dyDescent="0.3">
      <c r="A22" s="16">
        <v>21</v>
      </c>
      <c r="B22" s="16" t="s">
        <v>439</v>
      </c>
      <c r="C22" s="35" t="s">
        <v>440</v>
      </c>
      <c r="D22" s="101" t="s">
        <v>597</v>
      </c>
      <c r="E22" s="48">
        <v>6</v>
      </c>
      <c r="F22" s="19" t="s">
        <v>190</v>
      </c>
      <c r="G22" s="17" t="s">
        <v>190</v>
      </c>
      <c r="H22" s="19" t="s">
        <v>24</v>
      </c>
      <c r="I22" s="48" t="s">
        <v>431</v>
      </c>
      <c r="J22" s="21" t="s">
        <v>24</v>
      </c>
      <c r="K22" s="36" t="s">
        <v>67</v>
      </c>
      <c r="L22" s="19" t="s">
        <v>67</v>
      </c>
      <c r="M22" s="23">
        <v>0.95479999999999998</v>
      </c>
      <c r="N22" s="23" t="s">
        <v>432</v>
      </c>
      <c r="O22" s="20" t="s">
        <v>433</v>
      </c>
      <c r="P22" s="17" t="s">
        <v>434</v>
      </c>
      <c r="Q22" s="37" t="s">
        <v>163</v>
      </c>
      <c r="R22" s="20" t="s">
        <v>130</v>
      </c>
      <c r="S22" s="20" t="s">
        <v>255</v>
      </c>
      <c r="T22" s="36"/>
      <c r="U22" s="19" t="s">
        <v>34</v>
      </c>
      <c r="V22" s="19"/>
      <c r="W22" s="20"/>
    </row>
    <row r="23" spans="1:23" s="13" customFormat="1" ht="16.5" x14ac:dyDescent="0.3">
      <c r="A23" s="25">
        <v>22</v>
      </c>
      <c r="B23" s="25" t="s">
        <v>441</v>
      </c>
      <c r="C23" s="38" t="s">
        <v>442</v>
      </c>
      <c r="D23" s="102" t="s">
        <v>597</v>
      </c>
      <c r="E23" s="50">
        <v>6</v>
      </c>
      <c r="F23" s="28" t="s">
        <v>190</v>
      </c>
      <c r="G23" s="26" t="s">
        <v>190</v>
      </c>
      <c r="H23" s="28" t="s">
        <v>24</v>
      </c>
      <c r="I23" s="50" t="s">
        <v>431</v>
      </c>
      <c r="J23" s="30" t="s">
        <v>24</v>
      </c>
      <c r="K23" s="39" t="s">
        <v>67</v>
      </c>
      <c r="L23" s="28" t="s">
        <v>67</v>
      </c>
      <c r="M23" s="29">
        <v>0.95479999999999998</v>
      </c>
      <c r="N23" s="29" t="s">
        <v>432</v>
      </c>
      <c r="O23" s="32" t="s">
        <v>433</v>
      </c>
      <c r="P23" s="32" t="s">
        <v>434</v>
      </c>
      <c r="Q23" s="41" t="s">
        <v>163</v>
      </c>
      <c r="R23" s="32" t="s">
        <v>130</v>
      </c>
      <c r="S23" s="32" t="s">
        <v>255</v>
      </c>
      <c r="T23" s="39"/>
      <c r="U23" s="28" t="s">
        <v>34</v>
      </c>
      <c r="V23" s="28"/>
      <c r="W23" s="32"/>
    </row>
    <row r="24" spans="1:23" s="42" customFormat="1" ht="16.5" x14ac:dyDescent="0.3">
      <c r="A24" s="16">
        <v>23</v>
      </c>
      <c r="B24" s="16" t="s">
        <v>443</v>
      </c>
      <c r="C24" s="35" t="s">
        <v>444</v>
      </c>
      <c r="D24" s="101" t="s">
        <v>597</v>
      </c>
      <c r="E24" s="48">
        <v>6</v>
      </c>
      <c r="F24" s="19" t="s">
        <v>190</v>
      </c>
      <c r="G24" s="17" t="s">
        <v>190</v>
      </c>
      <c r="H24" s="19" t="s">
        <v>24</v>
      </c>
      <c r="I24" s="48" t="s">
        <v>431</v>
      </c>
      <c r="J24" s="21" t="s">
        <v>24</v>
      </c>
      <c r="K24" s="36" t="s">
        <v>67</v>
      </c>
      <c r="L24" s="19" t="s">
        <v>67</v>
      </c>
      <c r="M24" s="23">
        <v>0.95479999999999998</v>
      </c>
      <c r="N24" s="23" t="s">
        <v>432</v>
      </c>
      <c r="O24" s="20" t="s">
        <v>433</v>
      </c>
      <c r="P24" s="17" t="s">
        <v>434</v>
      </c>
      <c r="Q24" s="37" t="s">
        <v>163</v>
      </c>
      <c r="R24" s="20" t="s">
        <v>130</v>
      </c>
      <c r="S24" s="20" t="s">
        <v>255</v>
      </c>
      <c r="T24" s="36"/>
      <c r="U24" s="19" t="s">
        <v>34</v>
      </c>
      <c r="V24" s="19"/>
      <c r="W24" s="20"/>
    </row>
    <row r="25" spans="1:23" s="13" customFormat="1" ht="16.5" x14ac:dyDescent="0.3">
      <c r="A25" s="25">
        <v>24</v>
      </c>
      <c r="B25" s="25" t="s">
        <v>445</v>
      </c>
      <c r="C25" s="38" t="s">
        <v>446</v>
      </c>
      <c r="D25" s="26">
        <v>0.9</v>
      </c>
      <c r="E25" s="50">
        <v>6</v>
      </c>
      <c r="F25" s="28" t="s">
        <v>64</v>
      </c>
      <c r="G25" s="26" t="s">
        <v>190</v>
      </c>
      <c r="H25" s="28" t="s">
        <v>24</v>
      </c>
      <c r="I25" s="50" t="s">
        <v>431</v>
      </c>
      <c r="J25" s="30" t="s">
        <v>24</v>
      </c>
      <c r="K25" s="39" t="s">
        <v>24</v>
      </c>
      <c r="L25" s="28" t="s">
        <v>67</v>
      </c>
      <c r="M25" s="29">
        <v>0.95479999999999998</v>
      </c>
      <c r="N25" s="29" t="s">
        <v>432</v>
      </c>
      <c r="O25" s="32" t="s">
        <v>433</v>
      </c>
      <c r="P25" s="32" t="s">
        <v>434</v>
      </c>
      <c r="Q25" s="41" t="s">
        <v>163</v>
      </c>
      <c r="R25" s="32" t="s">
        <v>130</v>
      </c>
      <c r="S25" s="32" t="s">
        <v>255</v>
      </c>
      <c r="T25" s="39"/>
      <c r="U25" s="28" t="s">
        <v>34</v>
      </c>
      <c r="V25" s="28"/>
      <c r="W25" s="32"/>
    </row>
    <row r="26" spans="1:23" s="42" customFormat="1" ht="16.5" x14ac:dyDescent="0.3">
      <c r="A26" s="16">
        <v>25</v>
      </c>
      <c r="B26" s="16" t="s">
        <v>447</v>
      </c>
      <c r="C26" s="35" t="s">
        <v>448</v>
      </c>
      <c r="D26" s="17">
        <v>0.9</v>
      </c>
      <c r="E26" s="48">
        <v>6</v>
      </c>
      <c r="F26" s="19" t="s">
        <v>64</v>
      </c>
      <c r="G26" s="17" t="s">
        <v>190</v>
      </c>
      <c r="H26" s="19" t="s">
        <v>24</v>
      </c>
      <c r="I26" s="48" t="s">
        <v>431</v>
      </c>
      <c r="J26" s="21" t="s">
        <v>24</v>
      </c>
      <c r="K26" s="36" t="s">
        <v>24</v>
      </c>
      <c r="L26" s="19" t="s">
        <v>67</v>
      </c>
      <c r="M26" s="23">
        <v>0.95650000000000002</v>
      </c>
      <c r="N26" s="23" t="s">
        <v>432</v>
      </c>
      <c r="O26" s="20" t="s">
        <v>433</v>
      </c>
      <c r="P26" s="17" t="s">
        <v>434</v>
      </c>
      <c r="Q26" s="37" t="s">
        <v>163</v>
      </c>
      <c r="R26" s="20" t="s">
        <v>130</v>
      </c>
      <c r="S26" s="20" t="s">
        <v>255</v>
      </c>
      <c r="T26" s="36"/>
      <c r="U26" s="19" t="s">
        <v>34</v>
      </c>
      <c r="V26" s="19"/>
      <c r="W26" s="20"/>
    </row>
    <row r="27" spans="1:23" s="13" customFormat="1" ht="16.5" x14ac:dyDescent="0.3">
      <c r="A27" s="25">
        <v>26</v>
      </c>
      <c r="B27" s="25" t="s">
        <v>449</v>
      </c>
      <c r="C27" s="38" t="s">
        <v>450</v>
      </c>
      <c r="D27" s="26">
        <v>0.9</v>
      </c>
      <c r="E27" s="50">
        <v>6</v>
      </c>
      <c r="F27" s="28" t="s">
        <v>64</v>
      </c>
      <c r="G27" s="26" t="s">
        <v>190</v>
      </c>
      <c r="H27" s="28" t="s">
        <v>24</v>
      </c>
      <c r="I27" s="50" t="s">
        <v>431</v>
      </c>
      <c r="J27" s="30" t="s">
        <v>24</v>
      </c>
      <c r="K27" s="39" t="s">
        <v>24</v>
      </c>
      <c r="L27" s="28" t="s">
        <v>67</v>
      </c>
      <c r="M27" s="29">
        <v>0.95650000000000002</v>
      </c>
      <c r="N27" s="29" t="s">
        <v>432</v>
      </c>
      <c r="O27" s="32" t="s">
        <v>433</v>
      </c>
      <c r="P27" s="32" t="s">
        <v>434</v>
      </c>
      <c r="Q27" s="41" t="s">
        <v>163</v>
      </c>
      <c r="R27" s="32" t="s">
        <v>130</v>
      </c>
      <c r="S27" s="32" t="s">
        <v>255</v>
      </c>
      <c r="T27" s="39"/>
      <c r="U27" s="28" t="s">
        <v>34</v>
      </c>
      <c r="V27" s="28"/>
      <c r="W27" s="32"/>
    </row>
    <row r="28" spans="1:23" s="42" customFormat="1" ht="16.5" x14ac:dyDescent="0.3">
      <c r="A28" s="16">
        <v>27</v>
      </c>
      <c r="B28" s="16" t="s">
        <v>451</v>
      </c>
      <c r="C28" s="35" t="s">
        <v>452</v>
      </c>
      <c r="D28" s="17">
        <v>0.9</v>
      </c>
      <c r="E28" s="48">
        <v>6</v>
      </c>
      <c r="F28" s="19" t="s">
        <v>64</v>
      </c>
      <c r="G28" s="17" t="s">
        <v>190</v>
      </c>
      <c r="H28" s="19" t="s">
        <v>24</v>
      </c>
      <c r="I28" s="48" t="s">
        <v>453</v>
      </c>
      <c r="J28" s="21" t="s">
        <v>24</v>
      </c>
      <c r="K28" s="36" t="s">
        <v>24</v>
      </c>
      <c r="L28" s="19" t="s">
        <v>67</v>
      </c>
      <c r="M28" s="23">
        <v>0.95650000000000002</v>
      </c>
      <c r="N28" s="23" t="s">
        <v>432</v>
      </c>
      <c r="O28" s="20" t="s">
        <v>433</v>
      </c>
      <c r="P28" s="17" t="s">
        <v>434</v>
      </c>
      <c r="Q28" s="37" t="s">
        <v>163</v>
      </c>
      <c r="R28" s="20" t="s">
        <v>130</v>
      </c>
      <c r="S28" s="20" t="s">
        <v>255</v>
      </c>
      <c r="T28" s="36"/>
      <c r="U28" s="19" t="s">
        <v>34</v>
      </c>
      <c r="V28" s="19"/>
      <c r="W28" s="20"/>
    </row>
    <row r="29" spans="1:23" s="13" customFormat="1" ht="16.5" x14ac:dyDescent="0.3">
      <c r="A29" s="25">
        <v>28</v>
      </c>
      <c r="B29" s="25" t="s">
        <v>454</v>
      </c>
      <c r="C29" s="38" t="s">
        <v>455</v>
      </c>
      <c r="D29" s="26">
        <v>0.9</v>
      </c>
      <c r="E29" s="50">
        <v>6</v>
      </c>
      <c r="F29" s="28" t="s">
        <v>64</v>
      </c>
      <c r="G29" s="26" t="s">
        <v>190</v>
      </c>
      <c r="H29" s="28" t="s">
        <v>24</v>
      </c>
      <c r="I29" s="50" t="s">
        <v>453</v>
      </c>
      <c r="J29" s="30" t="s">
        <v>24</v>
      </c>
      <c r="K29" s="39" t="s">
        <v>24</v>
      </c>
      <c r="L29" s="28" t="s">
        <v>67</v>
      </c>
      <c r="M29" s="29">
        <v>0.95650000000000002</v>
      </c>
      <c r="N29" s="29" t="s">
        <v>456</v>
      </c>
      <c r="O29" s="32" t="s">
        <v>433</v>
      </c>
      <c r="P29" s="32" t="s">
        <v>434</v>
      </c>
      <c r="Q29" s="41" t="s">
        <v>163</v>
      </c>
      <c r="R29" s="32" t="s">
        <v>130</v>
      </c>
      <c r="S29" s="32" t="s">
        <v>255</v>
      </c>
      <c r="T29" s="39"/>
      <c r="U29" s="28" t="s">
        <v>34</v>
      </c>
      <c r="V29" s="28"/>
      <c r="W29" s="32"/>
    </row>
    <row r="30" spans="1:23" s="42" customFormat="1" ht="16.5" x14ac:dyDescent="0.3">
      <c r="A30" s="16">
        <v>29</v>
      </c>
      <c r="B30" s="16" t="s">
        <v>457</v>
      </c>
      <c r="C30" s="35" t="s">
        <v>458</v>
      </c>
      <c r="D30" s="17">
        <v>0.9</v>
      </c>
      <c r="E30" s="48">
        <v>6</v>
      </c>
      <c r="F30" s="19" t="s">
        <v>64</v>
      </c>
      <c r="G30" s="17" t="s">
        <v>190</v>
      </c>
      <c r="H30" s="19" t="s">
        <v>24</v>
      </c>
      <c r="I30" s="48" t="s">
        <v>453</v>
      </c>
      <c r="J30" s="21" t="s">
        <v>24</v>
      </c>
      <c r="K30" s="36" t="s">
        <v>24</v>
      </c>
      <c r="L30" s="19" t="s">
        <v>67</v>
      </c>
      <c r="M30" s="23">
        <v>0.95650000000000002</v>
      </c>
      <c r="N30" s="23" t="s">
        <v>456</v>
      </c>
      <c r="O30" s="20" t="s">
        <v>433</v>
      </c>
      <c r="P30" s="17" t="s">
        <v>434</v>
      </c>
      <c r="Q30" s="37" t="s">
        <v>163</v>
      </c>
      <c r="R30" s="20" t="s">
        <v>130</v>
      </c>
      <c r="S30" s="20" t="s">
        <v>255</v>
      </c>
      <c r="T30" s="36"/>
      <c r="U30" s="19" t="s">
        <v>34</v>
      </c>
      <c r="V30" s="19"/>
      <c r="W30" s="20"/>
    </row>
    <row r="31" spans="1:23" s="13" customFormat="1" ht="16.5" x14ac:dyDescent="0.3">
      <c r="A31" s="25">
        <v>30</v>
      </c>
      <c r="B31" s="25" t="s">
        <v>459</v>
      </c>
      <c r="C31" s="38" t="s">
        <v>460</v>
      </c>
      <c r="D31" s="26">
        <v>0.9</v>
      </c>
      <c r="E31" s="50">
        <v>6</v>
      </c>
      <c r="F31" s="28" t="s">
        <v>64</v>
      </c>
      <c r="G31" s="26" t="s">
        <v>190</v>
      </c>
      <c r="H31" s="28" t="s">
        <v>24</v>
      </c>
      <c r="I31" s="50">
        <v>40</v>
      </c>
      <c r="J31" s="30" t="s">
        <v>24</v>
      </c>
      <c r="K31" s="39" t="s">
        <v>24</v>
      </c>
      <c r="L31" s="28" t="s">
        <v>67</v>
      </c>
      <c r="M31" s="29">
        <v>0.95650000000000002</v>
      </c>
      <c r="N31" s="29" t="s">
        <v>456</v>
      </c>
      <c r="O31" s="32" t="s">
        <v>433</v>
      </c>
      <c r="P31" s="32" t="s">
        <v>434</v>
      </c>
      <c r="Q31" s="41" t="s">
        <v>163</v>
      </c>
      <c r="R31" s="32" t="s">
        <v>130</v>
      </c>
      <c r="S31" s="32" t="s">
        <v>255</v>
      </c>
      <c r="T31" s="39"/>
      <c r="U31" s="28" t="s">
        <v>34</v>
      </c>
      <c r="V31" s="28"/>
      <c r="W31" s="32"/>
    </row>
    <row r="32" spans="1:23" s="42" customFormat="1" ht="16.5" x14ac:dyDescent="0.3">
      <c r="A32" s="16">
        <v>31</v>
      </c>
      <c r="B32" s="16" t="s">
        <v>461</v>
      </c>
      <c r="C32" s="35" t="s">
        <v>462</v>
      </c>
      <c r="D32" s="17">
        <v>0.9</v>
      </c>
      <c r="E32" s="48">
        <v>6</v>
      </c>
      <c r="F32" s="19" t="s">
        <v>64</v>
      </c>
      <c r="G32" s="17" t="s">
        <v>190</v>
      </c>
      <c r="H32" s="19" t="s">
        <v>24</v>
      </c>
      <c r="I32" s="48">
        <v>40</v>
      </c>
      <c r="J32" s="21" t="s">
        <v>24</v>
      </c>
      <c r="K32" s="36" t="s">
        <v>24</v>
      </c>
      <c r="L32" s="19" t="s">
        <v>67</v>
      </c>
      <c r="M32" s="23">
        <v>0.95650000000000002</v>
      </c>
      <c r="N32" s="23" t="s">
        <v>456</v>
      </c>
      <c r="O32" s="20" t="s">
        <v>433</v>
      </c>
      <c r="P32" s="17" t="s">
        <v>434</v>
      </c>
      <c r="Q32" s="37" t="s">
        <v>163</v>
      </c>
      <c r="R32" s="20" t="s">
        <v>130</v>
      </c>
      <c r="S32" s="20" t="s">
        <v>255</v>
      </c>
      <c r="T32" s="36"/>
      <c r="U32" s="19" t="s">
        <v>34</v>
      </c>
      <c r="V32" s="19"/>
      <c r="W32" s="20"/>
    </row>
  </sheetData>
  <phoneticPr fontId="16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3"/>
  <sheetViews>
    <sheetView zoomScale="80" zoomScaleNormal="80" workbookViewId="0">
      <selection activeCell="A11" sqref="A11:XFD11"/>
    </sheetView>
  </sheetViews>
  <sheetFormatPr defaultColWidth="9" defaultRowHeight="14" x14ac:dyDescent="0.3"/>
  <cols>
    <col min="1" max="1" width="5.5" customWidth="1"/>
    <col min="2" max="2" width="24.5" style="14" customWidth="1"/>
    <col min="3" max="3" width="72.33203125" customWidth="1"/>
    <col min="4" max="4" width="17.83203125" customWidth="1"/>
    <col min="5" max="6" width="20.75" customWidth="1"/>
    <col min="7" max="9" width="14.75" customWidth="1"/>
    <col min="10" max="11" width="10.75" customWidth="1"/>
    <col min="12" max="15" width="14.75" customWidth="1"/>
    <col min="16" max="19" width="10.75" customWidth="1"/>
    <col min="20" max="20" width="25" customWidth="1"/>
    <col min="21" max="24" width="10.75" customWidth="1"/>
  </cols>
  <sheetData>
    <row r="1" spans="1:24" s="12" customFormat="1" ht="33" x14ac:dyDescent="0.3">
      <c r="A1" s="15" t="s">
        <v>0</v>
      </c>
      <c r="B1" s="15" t="s">
        <v>1</v>
      </c>
      <c r="C1" s="15" t="s">
        <v>2</v>
      </c>
      <c r="D1" s="15" t="s">
        <v>81</v>
      </c>
      <c r="E1" s="15" t="s">
        <v>82</v>
      </c>
      <c r="F1" s="15" t="s">
        <v>13</v>
      </c>
      <c r="G1" s="15" t="s">
        <v>463</v>
      </c>
      <c r="H1" s="15" t="s">
        <v>84</v>
      </c>
      <c r="I1" s="15" t="s">
        <v>85</v>
      </c>
      <c r="J1" s="15" t="s">
        <v>86</v>
      </c>
      <c r="K1" s="15" t="s">
        <v>87</v>
      </c>
      <c r="L1" s="15" t="s">
        <v>14</v>
      </c>
      <c r="M1" s="15" t="s">
        <v>327</v>
      </c>
      <c r="N1" s="15" t="s">
        <v>89</v>
      </c>
      <c r="O1" s="15" t="s">
        <v>90</v>
      </c>
      <c r="P1" s="15" t="s">
        <v>328</v>
      </c>
      <c r="Q1" s="15" t="s">
        <v>92</v>
      </c>
      <c r="R1" s="15" t="s">
        <v>93</v>
      </c>
      <c r="S1" s="15" t="s">
        <v>94</v>
      </c>
      <c r="T1" s="15" t="s">
        <v>95</v>
      </c>
      <c r="U1" s="15" t="s">
        <v>96</v>
      </c>
      <c r="V1" s="15" t="s">
        <v>97</v>
      </c>
      <c r="W1" s="15" t="s">
        <v>98</v>
      </c>
      <c r="X1" s="15" t="s">
        <v>99</v>
      </c>
    </row>
    <row r="2" spans="1:24" s="12" customFormat="1" ht="16.5" x14ac:dyDescent="0.3">
      <c r="A2" s="16">
        <v>1</v>
      </c>
      <c r="B2" s="16" t="s">
        <v>389</v>
      </c>
      <c r="C2" s="35" t="s">
        <v>390</v>
      </c>
      <c r="D2" s="17" t="s">
        <v>464</v>
      </c>
      <c r="E2" s="16" t="s">
        <v>465</v>
      </c>
      <c r="F2" s="16" t="s">
        <v>466</v>
      </c>
      <c r="G2" s="16" t="s">
        <v>467</v>
      </c>
      <c r="H2" s="19" t="s">
        <v>103</v>
      </c>
      <c r="I2" s="36">
        <v>1</v>
      </c>
      <c r="J2" s="18">
        <v>2.5999999999999999E-3</v>
      </c>
      <c r="K2" s="16">
        <v>49.97</v>
      </c>
      <c r="L2" s="16" t="s">
        <v>392</v>
      </c>
      <c r="M2" s="16" t="s">
        <v>104</v>
      </c>
      <c r="N2" s="23" t="s">
        <v>468</v>
      </c>
      <c r="O2" s="16" t="s">
        <v>337</v>
      </c>
      <c r="P2" s="16" t="s">
        <v>104</v>
      </c>
      <c r="Q2" s="20">
        <v>0</v>
      </c>
      <c r="R2" s="20">
        <v>0</v>
      </c>
      <c r="S2" s="20">
        <v>0</v>
      </c>
      <c r="T2" s="16" t="s">
        <v>469</v>
      </c>
      <c r="U2" s="37">
        <v>0.9</v>
      </c>
      <c r="V2" s="36">
        <v>3</v>
      </c>
      <c r="W2" s="20">
        <v>10</v>
      </c>
      <c r="X2" s="16">
        <v>54.5</v>
      </c>
    </row>
    <row r="3" spans="1:24" s="12" customFormat="1" ht="16.5" x14ac:dyDescent="0.3">
      <c r="A3" s="25">
        <v>2</v>
      </c>
      <c r="B3" s="25" t="s">
        <v>394</v>
      </c>
      <c r="C3" s="38" t="s">
        <v>395</v>
      </c>
      <c r="D3" s="25" t="s">
        <v>464</v>
      </c>
      <c r="E3" s="25" t="s">
        <v>465</v>
      </c>
      <c r="F3" s="25" t="s">
        <v>466</v>
      </c>
      <c r="G3" s="25" t="s">
        <v>467</v>
      </c>
      <c r="H3" s="25" t="s">
        <v>103</v>
      </c>
      <c r="I3" s="39">
        <v>1</v>
      </c>
      <c r="J3" s="27">
        <v>2.5999999999999999E-3</v>
      </c>
      <c r="K3" s="25">
        <v>49.97</v>
      </c>
      <c r="L3" s="25" t="s">
        <v>392</v>
      </c>
      <c r="M3" s="25" t="s">
        <v>104</v>
      </c>
      <c r="N3" s="29" t="s">
        <v>468</v>
      </c>
      <c r="O3" s="25" t="s">
        <v>337</v>
      </c>
      <c r="P3" s="25" t="s">
        <v>104</v>
      </c>
      <c r="Q3" s="25">
        <v>0</v>
      </c>
      <c r="R3" s="25">
        <v>0</v>
      </c>
      <c r="S3" s="25">
        <v>0</v>
      </c>
      <c r="T3" s="25" t="s">
        <v>469</v>
      </c>
      <c r="U3" s="25">
        <v>0.9</v>
      </c>
      <c r="V3" s="39">
        <v>3</v>
      </c>
      <c r="W3" s="25">
        <v>10</v>
      </c>
      <c r="X3" s="25">
        <v>54.5</v>
      </c>
    </row>
    <row r="4" spans="1:24" s="12" customFormat="1" ht="16.5" x14ac:dyDescent="0.3">
      <c r="A4" s="16">
        <v>3</v>
      </c>
      <c r="B4" s="16" t="s">
        <v>396</v>
      </c>
      <c r="C4" s="35" t="s">
        <v>397</v>
      </c>
      <c r="D4" s="17" t="s">
        <v>464</v>
      </c>
      <c r="E4" s="16" t="s">
        <v>465</v>
      </c>
      <c r="F4" s="16" t="s">
        <v>466</v>
      </c>
      <c r="G4" s="16" t="s">
        <v>467</v>
      </c>
      <c r="H4" s="19" t="s">
        <v>103</v>
      </c>
      <c r="I4" s="36">
        <v>1</v>
      </c>
      <c r="J4" s="18">
        <v>2.5999999999999999E-3</v>
      </c>
      <c r="K4" s="16">
        <v>49.97</v>
      </c>
      <c r="L4" s="16" t="s">
        <v>392</v>
      </c>
      <c r="M4" s="16" t="s">
        <v>104</v>
      </c>
      <c r="N4" s="23" t="s">
        <v>468</v>
      </c>
      <c r="O4" s="16" t="s">
        <v>337</v>
      </c>
      <c r="P4" s="16" t="s">
        <v>104</v>
      </c>
      <c r="Q4" s="20">
        <v>0</v>
      </c>
      <c r="R4" s="20">
        <v>0</v>
      </c>
      <c r="S4" s="20">
        <v>0</v>
      </c>
      <c r="T4" s="16" t="s">
        <v>469</v>
      </c>
      <c r="U4" s="37">
        <v>0.9</v>
      </c>
      <c r="V4" s="36">
        <v>3</v>
      </c>
      <c r="W4" s="20">
        <v>10</v>
      </c>
      <c r="X4" s="16">
        <v>54.5</v>
      </c>
    </row>
    <row r="5" spans="1:24" s="12" customFormat="1" ht="16.5" x14ac:dyDescent="0.3">
      <c r="A5" s="25">
        <v>4</v>
      </c>
      <c r="B5" s="25" t="s">
        <v>398</v>
      </c>
      <c r="C5" s="38" t="s">
        <v>399</v>
      </c>
      <c r="D5" s="25" t="s">
        <v>464</v>
      </c>
      <c r="E5" s="25" t="s">
        <v>465</v>
      </c>
      <c r="F5" s="25" t="s">
        <v>466</v>
      </c>
      <c r="G5" s="25" t="s">
        <v>467</v>
      </c>
      <c r="H5" s="25" t="s">
        <v>103</v>
      </c>
      <c r="I5" s="39">
        <v>1</v>
      </c>
      <c r="J5" s="27">
        <v>2.5999999999999999E-3</v>
      </c>
      <c r="K5" s="25">
        <v>49.97</v>
      </c>
      <c r="L5" s="25" t="s">
        <v>392</v>
      </c>
      <c r="M5" s="25" t="s">
        <v>104</v>
      </c>
      <c r="N5" s="29" t="s">
        <v>468</v>
      </c>
      <c r="O5" s="25" t="s">
        <v>337</v>
      </c>
      <c r="P5" s="25" t="s">
        <v>104</v>
      </c>
      <c r="Q5" s="25">
        <v>0</v>
      </c>
      <c r="R5" s="25">
        <v>0</v>
      </c>
      <c r="S5" s="25">
        <v>0</v>
      </c>
      <c r="T5" s="25" t="s">
        <v>469</v>
      </c>
      <c r="U5" s="25">
        <v>0.9</v>
      </c>
      <c r="V5" s="39">
        <v>3</v>
      </c>
      <c r="W5" s="25">
        <v>10</v>
      </c>
      <c r="X5" s="25">
        <v>54.5</v>
      </c>
    </row>
    <row r="6" spans="1:24" s="12" customFormat="1" ht="16.5" x14ac:dyDescent="0.3">
      <c r="A6" s="16">
        <v>5</v>
      </c>
      <c r="B6" s="16" t="s">
        <v>400</v>
      </c>
      <c r="C6" s="35" t="s">
        <v>401</v>
      </c>
      <c r="D6" s="17" t="s">
        <v>464</v>
      </c>
      <c r="E6" s="16" t="s">
        <v>465</v>
      </c>
      <c r="F6" s="16" t="s">
        <v>466</v>
      </c>
      <c r="G6" s="16" t="s">
        <v>467</v>
      </c>
      <c r="H6" s="19" t="s">
        <v>103</v>
      </c>
      <c r="I6" s="36">
        <v>1</v>
      </c>
      <c r="J6" s="18">
        <v>2.5999999999999999E-3</v>
      </c>
      <c r="K6" s="16">
        <v>49.97</v>
      </c>
      <c r="L6" s="16" t="s">
        <v>392</v>
      </c>
      <c r="M6" s="16" t="s">
        <v>104</v>
      </c>
      <c r="N6" s="23" t="s">
        <v>468</v>
      </c>
      <c r="O6" s="16" t="s">
        <v>337</v>
      </c>
      <c r="P6" s="16" t="s">
        <v>104</v>
      </c>
      <c r="Q6" s="20">
        <v>0</v>
      </c>
      <c r="R6" s="20">
        <v>0</v>
      </c>
      <c r="S6" s="20">
        <v>0</v>
      </c>
      <c r="T6" s="16" t="s">
        <v>469</v>
      </c>
      <c r="U6" s="37">
        <v>0.9</v>
      </c>
      <c r="V6" s="36">
        <v>3</v>
      </c>
      <c r="W6" s="20">
        <v>10</v>
      </c>
      <c r="X6" s="16">
        <v>54.5</v>
      </c>
    </row>
    <row r="7" spans="1:24" s="12" customFormat="1" ht="16.5" x14ac:dyDescent="0.3">
      <c r="A7" s="25">
        <v>6</v>
      </c>
      <c r="B7" s="25" t="s">
        <v>402</v>
      </c>
      <c r="C7" s="38" t="s">
        <v>403</v>
      </c>
      <c r="D7" s="25" t="s">
        <v>464</v>
      </c>
      <c r="E7" s="25" t="s">
        <v>465</v>
      </c>
      <c r="F7" s="25" t="s">
        <v>466</v>
      </c>
      <c r="G7" s="25" t="s">
        <v>467</v>
      </c>
      <c r="H7" s="25" t="s">
        <v>103</v>
      </c>
      <c r="I7" s="39">
        <v>1</v>
      </c>
      <c r="J7" s="27">
        <v>2.5999999999999999E-3</v>
      </c>
      <c r="K7" s="25">
        <v>49.97</v>
      </c>
      <c r="L7" s="25" t="s">
        <v>392</v>
      </c>
      <c r="M7" s="25" t="s">
        <v>104</v>
      </c>
      <c r="N7" s="29" t="s">
        <v>468</v>
      </c>
      <c r="O7" s="25" t="s">
        <v>337</v>
      </c>
      <c r="P7" s="25" t="s">
        <v>104</v>
      </c>
      <c r="Q7" s="25">
        <v>0</v>
      </c>
      <c r="R7" s="25">
        <v>0</v>
      </c>
      <c r="S7" s="25">
        <v>0</v>
      </c>
      <c r="T7" s="25" t="s">
        <v>469</v>
      </c>
      <c r="U7" s="25">
        <v>0.9</v>
      </c>
      <c r="V7" s="39">
        <v>3</v>
      </c>
      <c r="W7" s="25">
        <v>10</v>
      </c>
      <c r="X7" s="25">
        <v>54.5</v>
      </c>
    </row>
    <row r="8" spans="1:24" s="12" customFormat="1" ht="16.5" x14ac:dyDescent="0.3">
      <c r="A8" s="16">
        <v>7</v>
      </c>
      <c r="B8" s="16" t="s">
        <v>404</v>
      </c>
      <c r="C8" s="35" t="s">
        <v>405</v>
      </c>
      <c r="D8" s="17" t="s">
        <v>464</v>
      </c>
      <c r="E8" s="16" t="s">
        <v>465</v>
      </c>
      <c r="F8" s="16" t="s">
        <v>466</v>
      </c>
      <c r="G8" s="16" t="s">
        <v>467</v>
      </c>
      <c r="H8" s="19" t="s">
        <v>103</v>
      </c>
      <c r="I8" s="36">
        <v>1</v>
      </c>
      <c r="J8" s="18">
        <v>2.5999999999999999E-3</v>
      </c>
      <c r="K8" s="16">
        <v>49.97</v>
      </c>
      <c r="L8" s="16" t="s">
        <v>392</v>
      </c>
      <c r="M8" s="16" t="s">
        <v>104</v>
      </c>
      <c r="N8" s="23" t="s">
        <v>468</v>
      </c>
      <c r="O8" s="16" t="s">
        <v>337</v>
      </c>
      <c r="P8" s="16" t="s">
        <v>104</v>
      </c>
      <c r="Q8" s="20">
        <v>0</v>
      </c>
      <c r="R8" s="20">
        <v>0</v>
      </c>
      <c r="S8" s="20">
        <v>0</v>
      </c>
      <c r="T8" s="16" t="s">
        <v>469</v>
      </c>
      <c r="U8" s="37">
        <v>0.9</v>
      </c>
      <c r="V8" s="36">
        <v>3</v>
      </c>
      <c r="W8" s="20">
        <v>10</v>
      </c>
      <c r="X8" s="16">
        <v>54.5</v>
      </c>
    </row>
    <row r="9" spans="1:24" s="12" customFormat="1" ht="16.5" x14ac:dyDescent="0.3">
      <c r="A9" s="25">
        <v>8</v>
      </c>
      <c r="B9" s="25" t="s">
        <v>406</v>
      </c>
      <c r="C9" s="38" t="s">
        <v>407</v>
      </c>
      <c r="D9" s="25" t="s">
        <v>464</v>
      </c>
      <c r="E9" s="25" t="s">
        <v>465</v>
      </c>
      <c r="F9" s="25" t="s">
        <v>466</v>
      </c>
      <c r="G9" s="25" t="s">
        <v>467</v>
      </c>
      <c r="H9" s="25" t="s">
        <v>103</v>
      </c>
      <c r="I9" s="39">
        <v>1</v>
      </c>
      <c r="J9" s="27">
        <v>2.5999999999999999E-3</v>
      </c>
      <c r="K9" s="25">
        <v>49.97</v>
      </c>
      <c r="L9" s="25" t="s">
        <v>392</v>
      </c>
      <c r="M9" s="25" t="s">
        <v>104</v>
      </c>
      <c r="N9" s="29" t="s">
        <v>468</v>
      </c>
      <c r="O9" s="25" t="s">
        <v>337</v>
      </c>
      <c r="P9" s="25" t="s">
        <v>104</v>
      </c>
      <c r="Q9" s="25">
        <v>0</v>
      </c>
      <c r="R9" s="25">
        <v>0</v>
      </c>
      <c r="S9" s="25">
        <v>0</v>
      </c>
      <c r="T9" s="25" t="s">
        <v>469</v>
      </c>
      <c r="U9" s="25">
        <v>0.9</v>
      </c>
      <c r="V9" s="39">
        <v>3</v>
      </c>
      <c r="W9" s="25">
        <v>10</v>
      </c>
      <c r="X9" s="25">
        <v>54.5</v>
      </c>
    </row>
    <row r="10" spans="1:24" s="12" customFormat="1" ht="16.5" x14ac:dyDescent="0.3">
      <c r="A10" s="16">
        <v>9</v>
      </c>
      <c r="B10" s="16" t="s">
        <v>408</v>
      </c>
      <c r="C10" s="35" t="s">
        <v>409</v>
      </c>
      <c r="D10" s="17" t="s">
        <v>464</v>
      </c>
      <c r="E10" s="16" t="s">
        <v>465</v>
      </c>
      <c r="F10" s="16" t="s">
        <v>466</v>
      </c>
      <c r="G10" s="16" t="s">
        <v>467</v>
      </c>
      <c r="H10" s="19" t="s">
        <v>103</v>
      </c>
      <c r="I10" s="36">
        <v>1</v>
      </c>
      <c r="J10" s="18">
        <v>2.5999999999999999E-3</v>
      </c>
      <c r="K10" s="16">
        <v>49.97</v>
      </c>
      <c r="L10" s="16" t="s">
        <v>392</v>
      </c>
      <c r="M10" s="16" t="s">
        <v>104</v>
      </c>
      <c r="N10" s="23" t="s">
        <v>468</v>
      </c>
      <c r="O10" s="16" t="s">
        <v>337</v>
      </c>
      <c r="P10" s="16" t="s">
        <v>104</v>
      </c>
      <c r="Q10" s="20">
        <v>0</v>
      </c>
      <c r="R10" s="20">
        <v>0</v>
      </c>
      <c r="S10" s="20">
        <v>0</v>
      </c>
      <c r="T10" s="16" t="s">
        <v>469</v>
      </c>
      <c r="U10" s="37">
        <v>0.9</v>
      </c>
      <c r="V10" s="36">
        <v>3</v>
      </c>
      <c r="W10" s="20">
        <v>10</v>
      </c>
      <c r="X10" s="16">
        <v>54.5</v>
      </c>
    </row>
    <row r="11" spans="1:24" s="12" customFormat="1" ht="16.5" x14ac:dyDescent="0.3">
      <c r="A11" s="25">
        <v>10</v>
      </c>
      <c r="B11" s="25" t="s">
        <v>410</v>
      </c>
      <c r="C11" s="38" t="s">
        <v>411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40"/>
      <c r="R11" s="40"/>
      <c r="S11" s="40"/>
      <c r="T11" s="40"/>
      <c r="U11" s="40"/>
      <c r="V11" s="40"/>
      <c r="W11" s="40"/>
      <c r="X11" s="40"/>
    </row>
    <row r="12" spans="1:24" s="12" customFormat="1" ht="16.5" x14ac:dyDescent="0.3">
      <c r="A12" s="16">
        <v>11</v>
      </c>
      <c r="B12" s="16" t="s">
        <v>412</v>
      </c>
      <c r="C12" s="35" t="s">
        <v>413</v>
      </c>
      <c r="D12" s="17" t="s">
        <v>470</v>
      </c>
      <c r="E12" s="16" t="s">
        <v>471</v>
      </c>
      <c r="F12" s="22" t="s">
        <v>472</v>
      </c>
      <c r="G12" s="16" t="s">
        <v>467</v>
      </c>
      <c r="H12" s="19" t="s">
        <v>103</v>
      </c>
      <c r="I12" s="36">
        <v>1</v>
      </c>
      <c r="J12" s="18">
        <v>1.9E-3</v>
      </c>
      <c r="K12" s="16">
        <v>50.02</v>
      </c>
      <c r="L12" s="16" t="s">
        <v>415</v>
      </c>
      <c r="M12" s="16" t="s">
        <v>104</v>
      </c>
      <c r="N12" s="23" t="s">
        <v>473</v>
      </c>
      <c r="O12" s="16" t="s">
        <v>337</v>
      </c>
      <c r="P12" s="16" t="s">
        <v>104</v>
      </c>
      <c r="Q12" s="20">
        <v>0</v>
      </c>
      <c r="R12" s="20">
        <v>0</v>
      </c>
      <c r="S12" s="20">
        <v>0</v>
      </c>
      <c r="T12" s="16" t="s">
        <v>474</v>
      </c>
      <c r="U12" s="16">
        <v>0.9</v>
      </c>
      <c r="V12" s="36">
        <v>3</v>
      </c>
      <c r="W12" s="20">
        <v>10</v>
      </c>
      <c r="X12" s="16">
        <v>62.1</v>
      </c>
    </row>
    <row r="13" spans="1:24" s="12" customFormat="1" ht="16.5" x14ac:dyDescent="0.3">
      <c r="A13" s="25">
        <v>12</v>
      </c>
      <c r="B13" s="25" t="s">
        <v>417</v>
      </c>
      <c r="C13" s="38" t="s">
        <v>418</v>
      </c>
      <c r="D13" s="26" t="s">
        <v>470</v>
      </c>
      <c r="E13" s="25" t="s">
        <v>471</v>
      </c>
      <c r="F13" s="25" t="s">
        <v>472</v>
      </c>
      <c r="G13" s="25" t="s">
        <v>467</v>
      </c>
      <c r="H13" s="25" t="s">
        <v>103</v>
      </c>
      <c r="I13" s="39">
        <v>1</v>
      </c>
      <c r="J13" s="27">
        <v>1.9E-3</v>
      </c>
      <c r="K13" s="25">
        <v>50.02</v>
      </c>
      <c r="L13" s="25" t="s">
        <v>415</v>
      </c>
      <c r="M13" s="25" t="s">
        <v>104</v>
      </c>
      <c r="N13" s="29" t="s">
        <v>473</v>
      </c>
      <c r="O13" s="25" t="s">
        <v>337</v>
      </c>
      <c r="P13" s="25" t="s">
        <v>104</v>
      </c>
      <c r="Q13" s="25">
        <v>0</v>
      </c>
      <c r="R13" s="25">
        <v>0</v>
      </c>
      <c r="S13" s="25">
        <v>0</v>
      </c>
      <c r="T13" s="25" t="s">
        <v>474</v>
      </c>
      <c r="U13" s="25">
        <v>0.9</v>
      </c>
      <c r="V13" s="39">
        <v>3</v>
      </c>
      <c r="W13" s="25">
        <v>10</v>
      </c>
      <c r="X13" s="25">
        <v>62.1</v>
      </c>
    </row>
    <row r="14" spans="1:24" s="12" customFormat="1" ht="16.5" x14ac:dyDescent="0.3">
      <c r="A14" s="16">
        <v>13</v>
      </c>
      <c r="B14" s="16" t="s">
        <v>419</v>
      </c>
      <c r="C14" s="35" t="s">
        <v>420</v>
      </c>
      <c r="D14" s="17" t="s">
        <v>470</v>
      </c>
      <c r="E14" s="16" t="s">
        <v>471</v>
      </c>
      <c r="F14" s="22" t="s">
        <v>472</v>
      </c>
      <c r="G14" s="16" t="s">
        <v>467</v>
      </c>
      <c r="H14" s="19" t="s">
        <v>103</v>
      </c>
      <c r="I14" s="36">
        <v>1</v>
      </c>
      <c r="J14" s="18">
        <v>1.9E-3</v>
      </c>
      <c r="K14" s="16">
        <v>50.02</v>
      </c>
      <c r="L14" s="16" t="s">
        <v>415</v>
      </c>
      <c r="M14" s="16" t="s">
        <v>104</v>
      </c>
      <c r="N14" s="23" t="s">
        <v>473</v>
      </c>
      <c r="O14" s="16" t="s">
        <v>337</v>
      </c>
      <c r="P14" s="16" t="s">
        <v>104</v>
      </c>
      <c r="Q14" s="20">
        <v>0</v>
      </c>
      <c r="R14" s="20">
        <v>0</v>
      </c>
      <c r="S14" s="20">
        <v>0</v>
      </c>
      <c r="T14" s="16" t="s">
        <v>474</v>
      </c>
      <c r="U14" s="16">
        <v>0.9</v>
      </c>
      <c r="V14" s="36">
        <v>3</v>
      </c>
      <c r="W14" s="20">
        <v>10</v>
      </c>
      <c r="X14" s="16">
        <v>62.1</v>
      </c>
    </row>
    <row r="15" spans="1:24" s="12" customFormat="1" ht="16.5" x14ac:dyDescent="0.3">
      <c r="A15" s="25">
        <v>14</v>
      </c>
      <c r="B15" s="25" t="s">
        <v>421</v>
      </c>
      <c r="C15" s="38" t="s">
        <v>422</v>
      </c>
      <c r="D15" s="26" t="s">
        <v>470</v>
      </c>
      <c r="E15" s="25" t="s">
        <v>471</v>
      </c>
      <c r="F15" s="25" t="s">
        <v>472</v>
      </c>
      <c r="G15" s="25" t="s">
        <v>467</v>
      </c>
      <c r="H15" s="25" t="s">
        <v>103</v>
      </c>
      <c r="I15" s="39">
        <v>1</v>
      </c>
      <c r="J15" s="27">
        <v>1.9E-3</v>
      </c>
      <c r="K15" s="25">
        <v>50.02</v>
      </c>
      <c r="L15" s="25" t="s">
        <v>415</v>
      </c>
      <c r="M15" s="25" t="s">
        <v>104</v>
      </c>
      <c r="N15" s="29" t="s">
        <v>473</v>
      </c>
      <c r="O15" s="25" t="s">
        <v>337</v>
      </c>
      <c r="P15" s="25" t="s">
        <v>104</v>
      </c>
      <c r="Q15" s="25">
        <v>0</v>
      </c>
      <c r="R15" s="25">
        <v>0</v>
      </c>
      <c r="S15" s="25">
        <v>0</v>
      </c>
      <c r="T15" s="25" t="s">
        <v>474</v>
      </c>
      <c r="U15" s="25">
        <v>0.9</v>
      </c>
      <c r="V15" s="39">
        <v>3</v>
      </c>
      <c r="W15" s="25">
        <v>10</v>
      </c>
      <c r="X15" s="25">
        <v>62.1</v>
      </c>
    </row>
    <row r="16" spans="1:24" s="12" customFormat="1" ht="16.5" x14ac:dyDescent="0.3">
      <c r="A16" s="16">
        <v>15</v>
      </c>
      <c r="B16" s="16" t="s">
        <v>423</v>
      </c>
      <c r="C16" s="35" t="s">
        <v>424</v>
      </c>
      <c r="D16" s="17" t="s">
        <v>470</v>
      </c>
      <c r="E16" s="16" t="s">
        <v>471</v>
      </c>
      <c r="F16" s="22" t="s">
        <v>472</v>
      </c>
      <c r="G16" s="16" t="s">
        <v>467</v>
      </c>
      <c r="H16" s="19" t="s">
        <v>103</v>
      </c>
      <c r="I16" s="36">
        <v>1</v>
      </c>
      <c r="J16" s="18">
        <v>1.9E-3</v>
      </c>
      <c r="K16" s="16">
        <v>50.02</v>
      </c>
      <c r="L16" s="16" t="s">
        <v>415</v>
      </c>
      <c r="M16" s="16" t="s">
        <v>104</v>
      </c>
      <c r="N16" s="23" t="s">
        <v>473</v>
      </c>
      <c r="O16" s="16" t="s">
        <v>337</v>
      </c>
      <c r="P16" s="16" t="s">
        <v>104</v>
      </c>
      <c r="Q16" s="20">
        <v>0</v>
      </c>
      <c r="R16" s="20">
        <v>0</v>
      </c>
      <c r="S16" s="20">
        <v>0</v>
      </c>
      <c r="T16" s="16" t="s">
        <v>474</v>
      </c>
      <c r="U16" s="16">
        <v>0.9</v>
      </c>
      <c r="V16" s="36">
        <v>3</v>
      </c>
      <c r="W16" s="20">
        <v>10</v>
      </c>
      <c r="X16" s="16">
        <v>62.1</v>
      </c>
    </row>
    <row r="17" spans="1:24" s="12" customFormat="1" ht="16.5" x14ac:dyDescent="0.3">
      <c r="A17" s="25">
        <v>16</v>
      </c>
      <c r="B17" s="25" t="s">
        <v>425</v>
      </c>
      <c r="C17" s="38" t="s">
        <v>426</v>
      </c>
      <c r="D17" s="26" t="s">
        <v>470</v>
      </c>
      <c r="E17" s="25" t="s">
        <v>471</v>
      </c>
      <c r="F17" s="25" t="s">
        <v>472</v>
      </c>
      <c r="G17" s="25" t="s">
        <v>467</v>
      </c>
      <c r="H17" s="25" t="s">
        <v>103</v>
      </c>
      <c r="I17" s="39">
        <v>1</v>
      </c>
      <c r="J17" s="27">
        <v>1.9E-3</v>
      </c>
      <c r="K17" s="25">
        <v>50.02</v>
      </c>
      <c r="L17" s="25" t="s">
        <v>415</v>
      </c>
      <c r="M17" s="25" t="s">
        <v>104</v>
      </c>
      <c r="N17" s="29" t="s">
        <v>473</v>
      </c>
      <c r="O17" s="25" t="s">
        <v>337</v>
      </c>
      <c r="P17" s="25" t="s">
        <v>104</v>
      </c>
      <c r="Q17" s="25">
        <v>0</v>
      </c>
      <c r="R17" s="25">
        <v>0</v>
      </c>
      <c r="S17" s="25">
        <v>0</v>
      </c>
      <c r="T17" s="25" t="s">
        <v>474</v>
      </c>
      <c r="U17" s="25">
        <v>0.9</v>
      </c>
      <c r="V17" s="39">
        <v>3</v>
      </c>
      <c r="W17" s="25">
        <v>10</v>
      </c>
      <c r="X17" s="25">
        <v>62.1</v>
      </c>
    </row>
    <row r="18" spans="1:24" s="12" customFormat="1" ht="16.5" x14ac:dyDescent="0.3">
      <c r="A18" s="16">
        <v>17</v>
      </c>
      <c r="B18" s="16" t="s">
        <v>427</v>
      </c>
      <c r="C18" s="35" t="s">
        <v>428</v>
      </c>
      <c r="D18" s="17" t="s">
        <v>470</v>
      </c>
      <c r="E18" s="16" t="s">
        <v>471</v>
      </c>
      <c r="F18" s="22" t="s">
        <v>472</v>
      </c>
      <c r="G18" s="16" t="s">
        <v>467</v>
      </c>
      <c r="H18" s="19" t="s">
        <v>103</v>
      </c>
      <c r="I18" s="36">
        <v>1</v>
      </c>
      <c r="J18" s="18">
        <v>1.9E-3</v>
      </c>
      <c r="K18" s="16">
        <v>50.02</v>
      </c>
      <c r="L18" s="16" t="s">
        <v>415</v>
      </c>
      <c r="M18" s="16" t="s">
        <v>104</v>
      </c>
      <c r="N18" s="23" t="s">
        <v>473</v>
      </c>
      <c r="O18" s="16" t="s">
        <v>337</v>
      </c>
      <c r="P18" s="16" t="s">
        <v>104</v>
      </c>
      <c r="Q18" s="20">
        <v>0</v>
      </c>
      <c r="R18" s="20">
        <v>0</v>
      </c>
      <c r="S18" s="20">
        <v>0</v>
      </c>
      <c r="T18" s="16" t="s">
        <v>474</v>
      </c>
      <c r="U18" s="16">
        <v>0.9</v>
      </c>
      <c r="V18" s="36">
        <v>3</v>
      </c>
      <c r="W18" s="20">
        <v>10</v>
      </c>
      <c r="X18" s="16">
        <v>62.1</v>
      </c>
    </row>
    <row r="19" spans="1:24" s="12" customFormat="1" ht="16.5" x14ac:dyDescent="0.3">
      <c r="A19" s="25">
        <v>18</v>
      </c>
      <c r="B19" s="25" t="s">
        <v>429</v>
      </c>
      <c r="C19" s="38" t="s">
        <v>430</v>
      </c>
      <c r="D19" s="26" t="s">
        <v>475</v>
      </c>
      <c r="E19" s="26" t="s">
        <v>476</v>
      </c>
      <c r="F19" s="31" t="s">
        <v>477</v>
      </c>
      <c r="G19" s="31" t="s">
        <v>33</v>
      </c>
      <c r="H19" s="28" t="s">
        <v>103</v>
      </c>
      <c r="I19" s="39">
        <v>1</v>
      </c>
      <c r="J19" s="33">
        <v>4.0000000000000001E-3</v>
      </c>
      <c r="K19" s="30">
        <v>49.99</v>
      </c>
      <c r="L19" s="31" t="s">
        <v>433</v>
      </c>
      <c r="M19" s="29" t="s">
        <v>478</v>
      </c>
      <c r="N19" s="29" t="s">
        <v>479</v>
      </c>
      <c r="O19" s="32" t="s">
        <v>480</v>
      </c>
      <c r="P19" s="26" t="s">
        <v>373</v>
      </c>
      <c r="Q19" s="32">
        <v>0</v>
      </c>
      <c r="R19" s="32">
        <v>0</v>
      </c>
      <c r="S19" s="32">
        <v>0</v>
      </c>
      <c r="T19" s="31" t="s">
        <v>481</v>
      </c>
      <c r="U19" s="41">
        <v>0.9</v>
      </c>
      <c r="V19" s="39">
        <v>3</v>
      </c>
      <c r="W19" s="32">
        <v>10</v>
      </c>
      <c r="X19" s="32" t="s">
        <v>33</v>
      </c>
    </row>
    <row r="20" spans="1:24" s="12" customFormat="1" ht="16.5" x14ac:dyDescent="0.3">
      <c r="A20" s="16">
        <v>19</v>
      </c>
      <c r="B20" s="16" t="s">
        <v>435</v>
      </c>
      <c r="C20" s="35" t="s">
        <v>436</v>
      </c>
      <c r="D20" s="17" t="s">
        <v>475</v>
      </c>
      <c r="E20" s="17" t="s">
        <v>476</v>
      </c>
      <c r="F20" s="22" t="s">
        <v>477</v>
      </c>
      <c r="G20" s="22" t="s">
        <v>33</v>
      </c>
      <c r="H20" s="19" t="s">
        <v>103</v>
      </c>
      <c r="I20" s="36">
        <v>1</v>
      </c>
      <c r="J20" s="24">
        <v>4.0000000000000001E-3</v>
      </c>
      <c r="K20" s="21">
        <v>49.99</v>
      </c>
      <c r="L20" s="22" t="s">
        <v>433</v>
      </c>
      <c r="M20" s="23" t="s">
        <v>478</v>
      </c>
      <c r="N20" s="23" t="s">
        <v>479</v>
      </c>
      <c r="O20" s="20" t="s">
        <v>480</v>
      </c>
      <c r="P20" s="17" t="s">
        <v>373</v>
      </c>
      <c r="Q20" s="20">
        <v>0</v>
      </c>
      <c r="R20" s="20">
        <v>0</v>
      </c>
      <c r="S20" s="20">
        <v>0</v>
      </c>
      <c r="T20" s="22" t="s">
        <v>481</v>
      </c>
      <c r="U20" s="37">
        <v>0.9</v>
      </c>
      <c r="V20" s="36">
        <v>3</v>
      </c>
      <c r="W20" s="20">
        <v>10</v>
      </c>
      <c r="X20" s="20" t="s">
        <v>33</v>
      </c>
    </row>
    <row r="21" spans="1:24" s="12" customFormat="1" ht="16.5" x14ac:dyDescent="0.3">
      <c r="A21" s="25">
        <v>20</v>
      </c>
      <c r="B21" s="25" t="s">
        <v>437</v>
      </c>
      <c r="C21" s="38" t="s">
        <v>438</v>
      </c>
      <c r="D21" s="26" t="s">
        <v>475</v>
      </c>
      <c r="E21" s="26" t="s">
        <v>476</v>
      </c>
      <c r="F21" s="31" t="s">
        <v>477</v>
      </c>
      <c r="G21" s="31" t="s">
        <v>33</v>
      </c>
      <c r="H21" s="28" t="s">
        <v>103</v>
      </c>
      <c r="I21" s="39">
        <v>1</v>
      </c>
      <c r="J21" s="33">
        <v>4.0000000000000001E-3</v>
      </c>
      <c r="K21" s="30">
        <v>49.99</v>
      </c>
      <c r="L21" s="31" t="s">
        <v>433</v>
      </c>
      <c r="M21" s="29" t="s">
        <v>478</v>
      </c>
      <c r="N21" s="29" t="s">
        <v>479</v>
      </c>
      <c r="O21" s="32" t="s">
        <v>480</v>
      </c>
      <c r="P21" s="26" t="s">
        <v>373</v>
      </c>
      <c r="Q21" s="32">
        <v>0</v>
      </c>
      <c r="R21" s="32">
        <v>0</v>
      </c>
      <c r="S21" s="32">
        <v>0</v>
      </c>
      <c r="T21" s="31" t="s">
        <v>481</v>
      </c>
      <c r="U21" s="41">
        <v>0.9</v>
      </c>
      <c r="V21" s="39">
        <v>3</v>
      </c>
      <c r="W21" s="32">
        <v>10</v>
      </c>
      <c r="X21" s="32" t="s">
        <v>33</v>
      </c>
    </row>
    <row r="22" spans="1:24" s="12" customFormat="1" ht="16.5" x14ac:dyDescent="0.3">
      <c r="A22" s="16">
        <v>21</v>
      </c>
      <c r="B22" s="16" t="s">
        <v>439</v>
      </c>
      <c r="C22" s="35" t="s">
        <v>440</v>
      </c>
      <c r="D22" s="17" t="s">
        <v>475</v>
      </c>
      <c r="E22" s="17" t="s">
        <v>476</v>
      </c>
      <c r="F22" s="22" t="s">
        <v>477</v>
      </c>
      <c r="G22" s="22" t="s">
        <v>33</v>
      </c>
      <c r="H22" s="19" t="s">
        <v>103</v>
      </c>
      <c r="I22" s="36">
        <v>1</v>
      </c>
      <c r="J22" s="24">
        <v>4.0000000000000001E-3</v>
      </c>
      <c r="K22" s="21">
        <v>49.99</v>
      </c>
      <c r="L22" s="22" t="s">
        <v>433</v>
      </c>
      <c r="M22" s="23" t="s">
        <v>478</v>
      </c>
      <c r="N22" s="23" t="s">
        <v>479</v>
      </c>
      <c r="O22" s="20" t="s">
        <v>480</v>
      </c>
      <c r="P22" s="17" t="s">
        <v>373</v>
      </c>
      <c r="Q22" s="20">
        <v>0</v>
      </c>
      <c r="R22" s="20">
        <v>0</v>
      </c>
      <c r="S22" s="20">
        <v>0</v>
      </c>
      <c r="T22" s="22" t="s">
        <v>481</v>
      </c>
      <c r="U22" s="37">
        <v>0.9</v>
      </c>
      <c r="V22" s="36">
        <v>3</v>
      </c>
      <c r="W22" s="20">
        <v>10</v>
      </c>
      <c r="X22" s="20" t="s">
        <v>33</v>
      </c>
    </row>
    <row r="23" spans="1:24" s="12" customFormat="1" ht="16.5" x14ac:dyDescent="0.3">
      <c r="A23" s="25">
        <v>22</v>
      </c>
      <c r="B23" s="25" t="s">
        <v>441</v>
      </c>
      <c r="C23" s="38" t="s">
        <v>442</v>
      </c>
      <c r="D23" s="26" t="s">
        <v>475</v>
      </c>
      <c r="E23" s="26" t="s">
        <v>476</v>
      </c>
      <c r="F23" s="31" t="s">
        <v>477</v>
      </c>
      <c r="G23" s="31" t="s">
        <v>33</v>
      </c>
      <c r="H23" s="28" t="s">
        <v>103</v>
      </c>
      <c r="I23" s="39">
        <v>1</v>
      </c>
      <c r="J23" s="33">
        <v>4.0000000000000001E-3</v>
      </c>
      <c r="K23" s="30">
        <v>49.99</v>
      </c>
      <c r="L23" s="31" t="s">
        <v>433</v>
      </c>
      <c r="M23" s="29" t="s">
        <v>478</v>
      </c>
      <c r="N23" s="29" t="s">
        <v>479</v>
      </c>
      <c r="O23" s="32" t="s">
        <v>480</v>
      </c>
      <c r="P23" s="26" t="s">
        <v>373</v>
      </c>
      <c r="Q23" s="32">
        <v>0</v>
      </c>
      <c r="R23" s="32">
        <v>0</v>
      </c>
      <c r="S23" s="32">
        <v>0</v>
      </c>
      <c r="T23" s="31" t="s">
        <v>481</v>
      </c>
      <c r="U23" s="41">
        <v>0.9</v>
      </c>
      <c r="V23" s="39">
        <v>3</v>
      </c>
      <c r="W23" s="32">
        <v>10</v>
      </c>
      <c r="X23" s="32" t="s">
        <v>33</v>
      </c>
    </row>
    <row r="24" spans="1:24" s="12" customFormat="1" ht="16.5" x14ac:dyDescent="0.3">
      <c r="A24" s="16">
        <v>23</v>
      </c>
      <c r="B24" s="16" t="s">
        <v>443</v>
      </c>
      <c r="C24" s="35" t="s">
        <v>444</v>
      </c>
      <c r="D24" s="17" t="s">
        <v>475</v>
      </c>
      <c r="E24" s="17" t="s">
        <v>476</v>
      </c>
      <c r="F24" s="22" t="s">
        <v>477</v>
      </c>
      <c r="G24" s="22" t="s">
        <v>33</v>
      </c>
      <c r="H24" s="19" t="s">
        <v>103</v>
      </c>
      <c r="I24" s="36">
        <v>1</v>
      </c>
      <c r="J24" s="24">
        <v>4.0000000000000001E-3</v>
      </c>
      <c r="K24" s="21">
        <v>49.99</v>
      </c>
      <c r="L24" s="22" t="s">
        <v>433</v>
      </c>
      <c r="M24" s="23" t="s">
        <v>478</v>
      </c>
      <c r="N24" s="23" t="s">
        <v>479</v>
      </c>
      <c r="O24" s="20" t="s">
        <v>480</v>
      </c>
      <c r="P24" s="17" t="s">
        <v>373</v>
      </c>
      <c r="Q24" s="20">
        <v>0</v>
      </c>
      <c r="R24" s="20">
        <v>0</v>
      </c>
      <c r="S24" s="20">
        <v>0</v>
      </c>
      <c r="T24" s="22" t="s">
        <v>481</v>
      </c>
      <c r="U24" s="37">
        <v>0.9</v>
      </c>
      <c r="V24" s="36">
        <v>3</v>
      </c>
      <c r="W24" s="20">
        <v>10</v>
      </c>
      <c r="X24" s="20" t="s">
        <v>33</v>
      </c>
    </row>
    <row r="25" spans="1:24" s="12" customFormat="1" ht="16.5" x14ac:dyDescent="0.3">
      <c r="A25" s="25">
        <v>24</v>
      </c>
      <c r="B25" s="25" t="s">
        <v>445</v>
      </c>
      <c r="C25" s="38" t="s">
        <v>446</v>
      </c>
      <c r="D25" s="26" t="s">
        <v>475</v>
      </c>
      <c r="E25" s="26" t="s">
        <v>476</v>
      </c>
      <c r="F25" s="31" t="s">
        <v>477</v>
      </c>
      <c r="G25" s="31" t="s">
        <v>33</v>
      </c>
      <c r="H25" s="28" t="s">
        <v>103</v>
      </c>
      <c r="I25" s="39">
        <v>1</v>
      </c>
      <c r="J25" s="33">
        <v>4.0000000000000001E-3</v>
      </c>
      <c r="K25" s="30">
        <v>49.99</v>
      </c>
      <c r="L25" s="31" t="s">
        <v>433</v>
      </c>
      <c r="M25" s="29" t="s">
        <v>478</v>
      </c>
      <c r="N25" s="29" t="s">
        <v>479</v>
      </c>
      <c r="O25" s="32" t="s">
        <v>480</v>
      </c>
      <c r="P25" s="26" t="s">
        <v>373</v>
      </c>
      <c r="Q25" s="32">
        <v>0</v>
      </c>
      <c r="R25" s="32">
        <v>0</v>
      </c>
      <c r="S25" s="32">
        <v>0</v>
      </c>
      <c r="T25" s="31" t="s">
        <v>481</v>
      </c>
      <c r="U25" s="41">
        <v>0.9</v>
      </c>
      <c r="V25" s="39">
        <v>3</v>
      </c>
      <c r="W25" s="32">
        <v>10</v>
      </c>
      <c r="X25" s="32" t="s">
        <v>33</v>
      </c>
    </row>
    <row r="26" spans="1:24" s="12" customFormat="1" ht="16.5" x14ac:dyDescent="0.3">
      <c r="A26" s="16">
        <v>25</v>
      </c>
      <c r="B26" s="16" t="s">
        <v>447</v>
      </c>
      <c r="C26" s="35" t="s">
        <v>448</v>
      </c>
      <c r="D26" s="17" t="s">
        <v>475</v>
      </c>
      <c r="E26" s="17" t="s">
        <v>482</v>
      </c>
      <c r="F26" s="22" t="s">
        <v>483</v>
      </c>
      <c r="G26" s="22" t="s">
        <v>33</v>
      </c>
      <c r="H26" s="19" t="s">
        <v>103</v>
      </c>
      <c r="I26" s="36">
        <v>1</v>
      </c>
      <c r="J26" s="24">
        <v>5.7999999999999996E-3</v>
      </c>
      <c r="K26" s="21">
        <v>49.99</v>
      </c>
      <c r="L26" s="22" t="s">
        <v>433</v>
      </c>
      <c r="M26" s="23" t="s">
        <v>484</v>
      </c>
      <c r="N26" s="23" t="s">
        <v>485</v>
      </c>
      <c r="O26" s="20" t="s">
        <v>106</v>
      </c>
      <c r="P26" s="17" t="s">
        <v>373</v>
      </c>
      <c r="Q26" s="20">
        <v>0</v>
      </c>
      <c r="R26" s="20">
        <v>0</v>
      </c>
      <c r="S26" s="20">
        <v>0</v>
      </c>
      <c r="T26" s="22" t="s">
        <v>486</v>
      </c>
      <c r="U26" s="37">
        <v>0.9</v>
      </c>
      <c r="V26" s="36">
        <v>3</v>
      </c>
      <c r="W26" s="20">
        <v>10</v>
      </c>
      <c r="X26" s="20" t="s">
        <v>33</v>
      </c>
    </row>
    <row r="27" spans="1:24" s="12" customFormat="1" ht="16.5" x14ac:dyDescent="0.3">
      <c r="A27" s="25">
        <v>26</v>
      </c>
      <c r="B27" s="25" t="s">
        <v>449</v>
      </c>
      <c r="C27" s="38" t="s">
        <v>450</v>
      </c>
      <c r="D27" s="26" t="s">
        <v>475</v>
      </c>
      <c r="E27" s="26" t="s">
        <v>482</v>
      </c>
      <c r="F27" s="31" t="s">
        <v>483</v>
      </c>
      <c r="G27" s="31" t="s">
        <v>33</v>
      </c>
      <c r="H27" s="28" t="s">
        <v>103</v>
      </c>
      <c r="I27" s="39">
        <v>1</v>
      </c>
      <c r="J27" s="33">
        <v>5.7999999999999996E-3</v>
      </c>
      <c r="K27" s="30">
        <v>49.99</v>
      </c>
      <c r="L27" s="31" t="s">
        <v>433</v>
      </c>
      <c r="M27" s="29" t="s">
        <v>484</v>
      </c>
      <c r="N27" s="29" t="s">
        <v>485</v>
      </c>
      <c r="O27" s="32" t="s">
        <v>106</v>
      </c>
      <c r="P27" s="26" t="s">
        <v>373</v>
      </c>
      <c r="Q27" s="32">
        <v>0</v>
      </c>
      <c r="R27" s="32">
        <v>0</v>
      </c>
      <c r="S27" s="32">
        <v>0</v>
      </c>
      <c r="T27" s="31" t="s">
        <v>486</v>
      </c>
      <c r="U27" s="41">
        <v>0.9</v>
      </c>
      <c r="V27" s="39">
        <v>3</v>
      </c>
      <c r="W27" s="32">
        <v>10</v>
      </c>
      <c r="X27" s="32" t="s">
        <v>33</v>
      </c>
    </row>
    <row r="28" spans="1:24" s="12" customFormat="1" ht="16.5" x14ac:dyDescent="0.3">
      <c r="A28" s="16">
        <v>27</v>
      </c>
      <c r="B28" s="16" t="s">
        <v>451</v>
      </c>
      <c r="C28" s="35" t="s">
        <v>452</v>
      </c>
      <c r="D28" s="17" t="s">
        <v>475</v>
      </c>
      <c r="E28" s="17" t="s">
        <v>482</v>
      </c>
      <c r="F28" s="22" t="s">
        <v>483</v>
      </c>
      <c r="G28" s="22" t="s">
        <v>33</v>
      </c>
      <c r="H28" s="19" t="s">
        <v>103</v>
      </c>
      <c r="I28" s="36">
        <v>1</v>
      </c>
      <c r="J28" s="24">
        <v>5.7999999999999996E-3</v>
      </c>
      <c r="K28" s="21">
        <v>49.99</v>
      </c>
      <c r="L28" s="22" t="s">
        <v>433</v>
      </c>
      <c r="M28" s="23" t="s">
        <v>484</v>
      </c>
      <c r="N28" s="23" t="s">
        <v>485</v>
      </c>
      <c r="O28" s="20" t="s">
        <v>106</v>
      </c>
      <c r="P28" s="17" t="s">
        <v>373</v>
      </c>
      <c r="Q28" s="20">
        <v>0</v>
      </c>
      <c r="R28" s="20">
        <v>0</v>
      </c>
      <c r="S28" s="20">
        <v>0</v>
      </c>
      <c r="T28" s="22" t="s">
        <v>486</v>
      </c>
      <c r="U28" s="37">
        <v>0.9</v>
      </c>
      <c r="V28" s="36">
        <v>3</v>
      </c>
      <c r="W28" s="20">
        <v>10</v>
      </c>
      <c r="X28" s="20" t="s">
        <v>33</v>
      </c>
    </row>
    <row r="29" spans="1:24" s="12" customFormat="1" ht="16.5" x14ac:dyDescent="0.3">
      <c r="A29" s="25">
        <v>28</v>
      </c>
      <c r="B29" s="25" t="s">
        <v>454</v>
      </c>
      <c r="C29" s="38" t="s">
        <v>455</v>
      </c>
      <c r="D29" s="26" t="s">
        <v>475</v>
      </c>
      <c r="E29" s="26" t="s">
        <v>482</v>
      </c>
      <c r="F29" s="31" t="s">
        <v>483</v>
      </c>
      <c r="G29" s="31" t="s">
        <v>33</v>
      </c>
      <c r="H29" s="28" t="s">
        <v>103</v>
      </c>
      <c r="I29" s="39">
        <v>1</v>
      </c>
      <c r="J29" s="33">
        <v>5.7999999999999996E-3</v>
      </c>
      <c r="K29" s="30">
        <v>49.99</v>
      </c>
      <c r="L29" s="31" t="s">
        <v>433</v>
      </c>
      <c r="M29" s="29" t="s">
        <v>484</v>
      </c>
      <c r="N29" s="29" t="s">
        <v>485</v>
      </c>
      <c r="O29" s="32" t="s">
        <v>106</v>
      </c>
      <c r="P29" s="26" t="s">
        <v>373</v>
      </c>
      <c r="Q29" s="32">
        <v>0</v>
      </c>
      <c r="R29" s="32">
        <v>0</v>
      </c>
      <c r="S29" s="32">
        <v>0</v>
      </c>
      <c r="T29" s="31" t="s">
        <v>486</v>
      </c>
      <c r="U29" s="41">
        <v>0.9</v>
      </c>
      <c r="V29" s="39">
        <v>3</v>
      </c>
      <c r="W29" s="32">
        <v>10</v>
      </c>
      <c r="X29" s="32" t="s">
        <v>33</v>
      </c>
    </row>
    <row r="30" spans="1:24" s="12" customFormat="1" ht="16.5" x14ac:dyDescent="0.3">
      <c r="A30" s="16">
        <v>29</v>
      </c>
      <c r="B30" s="16" t="s">
        <v>457</v>
      </c>
      <c r="C30" s="35" t="s">
        <v>458</v>
      </c>
      <c r="D30" s="17" t="s">
        <v>475</v>
      </c>
      <c r="E30" s="17" t="s">
        <v>482</v>
      </c>
      <c r="F30" s="22" t="s">
        <v>483</v>
      </c>
      <c r="G30" s="22" t="s">
        <v>33</v>
      </c>
      <c r="H30" s="19" t="s">
        <v>103</v>
      </c>
      <c r="I30" s="36">
        <v>1</v>
      </c>
      <c r="J30" s="24">
        <v>5.7999999999999996E-3</v>
      </c>
      <c r="K30" s="21">
        <v>49.99</v>
      </c>
      <c r="L30" s="22" t="s">
        <v>433</v>
      </c>
      <c r="M30" s="23" t="s">
        <v>484</v>
      </c>
      <c r="N30" s="23" t="s">
        <v>485</v>
      </c>
      <c r="O30" s="20" t="s">
        <v>106</v>
      </c>
      <c r="P30" s="17" t="s">
        <v>373</v>
      </c>
      <c r="Q30" s="20">
        <v>0</v>
      </c>
      <c r="R30" s="20">
        <v>0</v>
      </c>
      <c r="S30" s="20">
        <v>0</v>
      </c>
      <c r="T30" s="22" t="s">
        <v>486</v>
      </c>
      <c r="U30" s="37">
        <v>0.9</v>
      </c>
      <c r="V30" s="36">
        <v>3</v>
      </c>
      <c r="W30" s="20">
        <v>10</v>
      </c>
      <c r="X30" s="20" t="s">
        <v>33</v>
      </c>
    </row>
    <row r="31" spans="1:24" s="12" customFormat="1" ht="16.5" x14ac:dyDescent="0.3">
      <c r="A31" s="25">
        <v>30</v>
      </c>
      <c r="B31" s="25" t="s">
        <v>459</v>
      </c>
      <c r="C31" s="38" t="s">
        <v>460</v>
      </c>
      <c r="D31" s="26" t="s">
        <v>475</v>
      </c>
      <c r="E31" s="26" t="s">
        <v>482</v>
      </c>
      <c r="F31" s="31" t="s">
        <v>483</v>
      </c>
      <c r="G31" s="31" t="s">
        <v>33</v>
      </c>
      <c r="H31" s="28" t="s">
        <v>103</v>
      </c>
      <c r="I31" s="39">
        <v>1</v>
      </c>
      <c r="J31" s="33">
        <v>5.7999999999999996E-3</v>
      </c>
      <c r="K31" s="30">
        <v>49.99</v>
      </c>
      <c r="L31" s="31" t="s">
        <v>433</v>
      </c>
      <c r="M31" s="29" t="s">
        <v>484</v>
      </c>
      <c r="N31" s="29" t="s">
        <v>485</v>
      </c>
      <c r="O31" s="32" t="s">
        <v>106</v>
      </c>
      <c r="P31" s="26" t="s">
        <v>373</v>
      </c>
      <c r="Q31" s="32">
        <v>0</v>
      </c>
      <c r="R31" s="32">
        <v>0</v>
      </c>
      <c r="S31" s="32">
        <v>0</v>
      </c>
      <c r="T31" s="31" t="s">
        <v>486</v>
      </c>
      <c r="U31" s="41">
        <v>0.9</v>
      </c>
      <c r="V31" s="39">
        <v>3</v>
      </c>
      <c r="W31" s="32">
        <v>10</v>
      </c>
      <c r="X31" s="32" t="s">
        <v>33</v>
      </c>
    </row>
    <row r="32" spans="1:24" s="12" customFormat="1" ht="16.5" x14ac:dyDescent="0.3">
      <c r="A32" s="16">
        <v>31</v>
      </c>
      <c r="B32" s="16" t="s">
        <v>461</v>
      </c>
      <c r="C32" s="35" t="s">
        <v>462</v>
      </c>
      <c r="D32" s="17" t="s">
        <v>475</v>
      </c>
      <c r="E32" s="17" t="s">
        <v>482</v>
      </c>
      <c r="F32" s="22" t="s">
        <v>483</v>
      </c>
      <c r="G32" s="22" t="s">
        <v>33</v>
      </c>
      <c r="H32" s="19" t="s">
        <v>103</v>
      </c>
      <c r="I32" s="36">
        <v>1</v>
      </c>
      <c r="J32" s="24">
        <v>5.7999999999999996E-3</v>
      </c>
      <c r="K32" s="21">
        <v>49.99</v>
      </c>
      <c r="L32" s="22" t="s">
        <v>433</v>
      </c>
      <c r="M32" s="23" t="s">
        <v>484</v>
      </c>
      <c r="N32" s="23" t="s">
        <v>485</v>
      </c>
      <c r="O32" s="20" t="s">
        <v>106</v>
      </c>
      <c r="P32" s="17" t="s">
        <v>373</v>
      </c>
      <c r="Q32" s="20">
        <v>0</v>
      </c>
      <c r="R32" s="20">
        <v>0</v>
      </c>
      <c r="S32" s="20">
        <v>0</v>
      </c>
      <c r="T32" s="22" t="s">
        <v>486</v>
      </c>
      <c r="U32" s="37">
        <v>0.9</v>
      </c>
      <c r="V32" s="36">
        <v>3</v>
      </c>
      <c r="W32" s="20">
        <v>10</v>
      </c>
      <c r="X32" s="20" t="s">
        <v>33</v>
      </c>
    </row>
    <row r="33" spans="1:24" ht="16.5" x14ac:dyDescent="0.3">
      <c r="A33" s="25">
        <v>32</v>
      </c>
      <c r="B33" s="25" t="s">
        <v>487</v>
      </c>
      <c r="C33" s="38" t="s">
        <v>488</v>
      </c>
      <c r="D33" s="26" t="s">
        <v>475</v>
      </c>
      <c r="E33" s="26" t="s">
        <v>482</v>
      </c>
      <c r="F33" s="31" t="s">
        <v>483</v>
      </c>
      <c r="G33" s="31" t="s">
        <v>33</v>
      </c>
      <c r="H33" s="28" t="s">
        <v>103</v>
      </c>
      <c r="I33" s="39">
        <v>1</v>
      </c>
      <c r="J33" s="33">
        <v>5.7999999999999996E-3</v>
      </c>
      <c r="K33" s="30">
        <v>49.99</v>
      </c>
      <c r="L33" s="31" t="s">
        <v>433</v>
      </c>
      <c r="M33" s="29" t="s">
        <v>484</v>
      </c>
      <c r="N33" s="29" t="s">
        <v>485</v>
      </c>
      <c r="O33" s="32" t="s">
        <v>106</v>
      </c>
      <c r="P33" s="26" t="s">
        <v>373</v>
      </c>
      <c r="Q33" s="32">
        <v>0</v>
      </c>
      <c r="R33" s="32">
        <v>0</v>
      </c>
      <c r="S33" s="32">
        <v>0</v>
      </c>
      <c r="T33" s="31" t="s">
        <v>486</v>
      </c>
      <c r="U33" s="41">
        <v>0.9</v>
      </c>
      <c r="V33" s="39">
        <v>3</v>
      </c>
      <c r="W33" s="32">
        <v>10</v>
      </c>
      <c r="X33" s="32" t="s">
        <v>33</v>
      </c>
    </row>
  </sheetData>
  <phoneticPr fontId="16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"/>
  <sheetViews>
    <sheetView zoomScale="80" zoomScaleNormal="80" workbookViewId="0">
      <selection activeCell="T8" sqref="T8"/>
    </sheetView>
  </sheetViews>
  <sheetFormatPr defaultColWidth="9" defaultRowHeight="14" x14ac:dyDescent="0.3"/>
  <cols>
    <col min="1" max="1" width="5.5" customWidth="1"/>
    <col min="2" max="2" width="13" customWidth="1"/>
    <col min="3" max="3" width="8.5" style="14" customWidth="1"/>
    <col min="4" max="4" width="23.25" customWidth="1"/>
    <col min="5" max="5" width="13.25" customWidth="1"/>
    <col min="6" max="6" width="12.33203125" bestFit="1" customWidth="1"/>
    <col min="7" max="7" width="14.58203125" bestFit="1" customWidth="1"/>
    <col min="8" max="8" width="10.25" bestFit="1" customWidth="1"/>
    <col min="9" max="9" width="10.08203125" bestFit="1" customWidth="1"/>
    <col min="10" max="10" width="10" bestFit="1" customWidth="1"/>
    <col min="11" max="12" width="12.33203125" bestFit="1" customWidth="1"/>
    <col min="13" max="13" width="19.5" bestFit="1" customWidth="1"/>
    <col min="14" max="14" width="12.33203125" bestFit="1" customWidth="1"/>
    <col min="15" max="15" width="11.08203125" customWidth="1"/>
    <col min="16" max="16" width="6.75" customWidth="1"/>
    <col min="17" max="17" width="8.58203125" customWidth="1"/>
    <col min="18" max="18" width="14.58203125" bestFit="1" customWidth="1"/>
    <col min="19" max="19" width="12.33203125" bestFit="1" customWidth="1"/>
    <col min="20" max="22" width="10" bestFit="1" customWidth="1"/>
  </cols>
  <sheetData>
    <row r="1" spans="1:23" s="12" customFormat="1" ht="33" x14ac:dyDescent="0.3">
      <c r="A1" s="15" t="s">
        <v>0</v>
      </c>
      <c r="B1" s="15" t="s">
        <v>1</v>
      </c>
      <c r="C1" s="15" t="s">
        <v>489</v>
      </c>
      <c r="D1" s="15" t="s">
        <v>490</v>
      </c>
      <c r="E1" s="15" t="s">
        <v>491</v>
      </c>
      <c r="F1" s="15" t="s">
        <v>492</v>
      </c>
      <c r="G1" s="15" t="s">
        <v>493</v>
      </c>
      <c r="H1" s="87" t="s">
        <v>581</v>
      </c>
      <c r="I1" s="87" t="s">
        <v>584</v>
      </c>
      <c r="J1" s="87" t="s">
        <v>587</v>
      </c>
      <c r="K1" s="87" t="s">
        <v>588</v>
      </c>
      <c r="L1" s="15" t="s">
        <v>494</v>
      </c>
      <c r="M1" s="15" t="s">
        <v>495</v>
      </c>
      <c r="N1" s="87" t="s">
        <v>590</v>
      </c>
      <c r="O1" s="15" t="s">
        <v>496</v>
      </c>
      <c r="P1" s="15" t="s">
        <v>497</v>
      </c>
      <c r="Q1" s="15" t="s">
        <v>498</v>
      </c>
      <c r="R1" s="15" t="s">
        <v>500</v>
      </c>
      <c r="S1" s="15" t="s">
        <v>502</v>
      </c>
      <c r="T1" s="15" t="s">
        <v>501</v>
      </c>
      <c r="U1" s="15" t="s">
        <v>499</v>
      </c>
      <c r="V1" s="15" t="s">
        <v>499</v>
      </c>
    </row>
    <row r="2" spans="1:23" s="13" customFormat="1" ht="16.5" x14ac:dyDescent="0.3">
      <c r="A2" s="16">
        <v>1</v>
      </c>
      <c r="B2" s="16" t="s">
        <v>503</v>
      </c>
      <c r="C2" s="16" t="s">
        <v>504</v>
      </c>
      <c r="D2" s="85" t="s">
        <v>580</v>
      </c>
      <c r="E2" s="17" t="s">
        <v>505</v>
      </c>
      <c r="F2" s="86">
        <v>0.98699999999999999</v>
      </c>
      <c r="G2" s="22">
        <v>0.99</v>
      </c>
      <c r="H2" s="83" t="s">
        <v>582</v>
      </c>
      <c r="I2" s="83" t="s">
        <v>586</v>
      </c>
      <c r="J2" s="19">
        <v>0.88</v>
      </c>
      <c r="K2" s="19">
        <v>0.98299999999999998</v>
      </c>
      <c r="L2" s="19" t="s">
        <v>506</v>
      </c>
      <c r="M2" s="89" t="s">
        <v>589</v>
      </c>
      <c r="N2" s="19">
        <v>1.0999999999999999E-2</v>
      </c>
      <c r="O2" s="90" t="s">
        <v>591</v>
      </c>
      <c r="P2" s="23" t="s">
        <v>507</v>
      </c>
      <c r="Q2" s="23" t="s">
        <v>507</v>
      </c>
      <c r="R2" s="83" t="s">
        <v>592</v>
      </c>
      <c r="S2" s="83">
        <v>0.99</v>
      </c>
      <c r="T2" s="19">
        <v>0.99199999999999999</v>
      </c>
      <c r="U2" s="83" t="s">
        <v>593</v>
      </c>
      <c r="V2" s="19">
        <v>5.0999999999999997E-2</v>
      </c>
      <c r="W2" s="13" t="s">
        <v>508</v>
      </c>
    </row>
    <row r="3" spans="1:23" s="13" customFormat="1" ht="16.5" x14ac:dyDescent="0.3">
      <c r="A3" s="91">
        <v>2</v>
      </c>
      <c r="B3" s="91" t="s">
        <v>509</v>
      </c>
      <c r="C3" s="91" t="s">
        <v>504</v>
      </c>
      <c r="D3" s="91" t="s">
        <v>510</v>
      </c>
      <c r="E3" s="92" t="s">
        <v>505</v>
      </c>
      <c r="F3" s="93">
        <v>0.98899999999999999</v>
      </c>
      <c r="G3" s="93">
        <v>0.98599999999999999</v>
      </c>
      <c r="H3" s="94" t="s">
        <v>594</v>
      </c>
      <c r="I3" s="95" t="s">
        <v>595</v>
      </c>
      <c r="J3" s="94" t="s">
        <v>594</v>
      </c>
      <c r="K3" s="94" t="s">
        <v>594</v>
      </c>
      <c r="L3" s="96" t="s">
        <v>506</v>
      </c>
      <c r="M3" s="97" t="s">
        <v>511</v>
      </c>
      <c r="N3" s="96">
        <v>7.0000000000000001E-3</v>
      </c>
      <c r="O3" s="98" t="s">
        <v>512</v>
      </c>
      <c r="P3" s="82" t="s">
        <v>505</v>
      </c>
      <c r="Q3" s="82" t="s">
        <v>505</v>
      </c>
      <c r="R3" s="99" t="s">
        <v>596</v>
      </c>
      <c r="S3" s="99" t="s">
        <v>594</v>
      </c>
      <c r="T3" s="96">
        <v>0.99</v>
      </c>
      <c r="U3" s="100" t="s">
        <v>513</v>
      </c>
      <c r="V3" s="96">
        <v>4.7E-2</v>
      </c>
      <c r="W3" s="13" t="s">
        <v>508</v>
      </c>
    </row>
    <row r="4" spans="1:23" x14ac:dyDescent="0.3">
      <c r="D4" s="34" t="s">
        <v>514</v>
      </c>
      <c r="H4" s="88" t="s">
        <v>583</v>
      </c>
      <c r="I4" s="88" t="s">
        <v>585</v>
      </c>
      <c r="J4" s="88"/>
      <c r="K4" s="88"/>
      <c r="M4" s="34" t="s">
        <v>515</v>
      </c>
      <c r="N4" s="34"/>
      <c r="R4" s="34" t="s">
        <v>516</v>
      </c>
      <c r="S4" s="34"/>
      <c r="T4" s="34"/>
    </row>
  </sheetData>
  <phoneticPr fontId="16" type="noConversion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35"/>
  <sheetViews>
    <sheetView tabSelected="1" workbookViewId="0">
      <selection activeCell="F5" sqref="F5"/>
    </sheetView>
  </sheetViews>
  <sheetFormatPr defaultColWidth="9" defaultRowHeight="14" x14ac:dyDescent="0.3"/>
  <cols>
    <col min="1" max="1" width="15.33203125" style="1" customWidth="1"/>
    <col min="2" max="2" width="11.25" style="1" customWidth="1"/>
    <col min="3" max="4" width="11.83203125" style="1" customWidth="1"/>
    <col min="5" max="5" width="17.5" style="1" customWidth="1"/>
    <col min="6" max="6" width="12.75" style="1" customWidth="1"/>
    <col min="7" max="7" width="11.83203125" style="1" customWidth="1"/>
    <col min="8" max="8" width="13.25" style="1" customWidth="1"/>
    <col min="9" max="9" width="11.58203125" style="1" customWidth="1"/>
    <col min="10" max="10" width="13.83203125" style="1" customWidth="1"/>
    <col min="11" max="11" width="11" style="1" customWidth="1"/>
    <col min="12" max="12" width="16.75" style="1" customWidth="1"/>
    <col min="13" max="14" width="12.5" style="1" customWidth="1"/>
    <col min="15" max="15" width="18.33203125" style="1" customWidth="1"/>
    <col min="16" max="16" width="12.5" style="1" customWidth="1"/>
    <col min="17" max="16384" width="9" style="1"/>
  </cols>
  <sheetData>
    <row r="1" spans="1:20" x14ac:dyDescent="0.3">
      <c r="A1" s="113" t="s">
        <v>517</v>
      </c>
      <c r="B1" s="113"/>
      <c r="C1" s="114"/>
      <c r="D1" s="114"/>
      <c r="E1" s="114"/>
      <c r="F1" s="114"/>
      <c r="G1" s="114"/>
      <c r="H1" s="114"/>
      <c r="J1" s="113" t="s">
        <v>518</v>
      </c>
      <c r="K1" s="113"/>
      <c r="L1" s="114"/>
      <c r="M1" s="114"/>
      <c r="N1" s="114"/>
      <c r="O1" s="114"/>
      <c r="P1" s="114"/>
    </row>
    <row r="2" spans="1:20" ht="17.5" x14ac:dyDescent="0.3">
      <c r="A2" s="2" t="s">
        <v>519</v>
      </c>
      <c r="B2" s="2" t="s">
        <v>3</v>
      </c>
      <c r="C2" s="2" t="s">
        <v>520</v>
      </c>
      <c r="D2" s="2" t="s">
        <v>521</v>
      </c>
      <c r="E2" s="2" t="s">
        <v>522</v>
      </c>
      <c r="F2" s="2" t="s">
        <v>523</v>
      </c>
      <c r="G2" s="2" t="s">
        <v>524</v>
      </c>
      <c r="H2" s="2" t="s">
        <v>525</v>
      </c>
      <c r="J2" s="2" t="s">
        <v>519</v>
      </c>
      <c r="K2" s="2" t="s">
        <v>3</v>
      </c>
      <c r="L2" s="2" t="s">
        <v>526</v>
      </c>
      <c r="M2" s="2" t="s">
        <v>527</v>
      </c>
      <c r="N2" s="2" t="s">
        <v>521</v>
      </c>
      <c r="O2" s="2" t="s">
        <v>522</v>
      </c>
      <c r="P2" s="2" t="s">
        <v>528</v>
      </c>
    </row>
    <row r="3" spans="1:20" x14ac:dyDescent="0.3">
      <c r="A3" s="3">
        <v>544000</v>
      </c>
      <c r="B3" s="3">
        <v>1</v>
      </c>
      <c r="C3" s="3">
        <v>36</v>
      </c>
      <c r="D3" s="3">
        <v>6</v>
      </c>
      <c r="E3" s="3">
        <v>0.95</v>
      </c>
      <c r="F3" s="3">
        <f>A3*B3/(C3*D3*E3)</f>
        <v>2651.0721247563356</v>
      </c>
      <c r="G3" s="3">
        <v>617.12</v>
      </c>
      <c r="H3" s="3">
        <f t="shared" ref="H3:H10" si="0">F3/G3</f>
        <v>4.2958778272561826</v>
      </c>
      <c r="J3" s="3">
        <v>60000</v>
      </c>
      <c r="K3" s="3">
        <v>1</v>
      </c>
      <c r="L3" s="3">
        <v>40</v>
      </c>
      <c r="M3" s="3">
        <v>1.75</v>
      </c>
      <c r="N3" s="3">
        <v>6</v>
      </c>
      <c r="O3" s="3">
        <v>0.95</v>
      </c>
      <c r="P3" s="3">
        <f>J3*K3/(L3*M3*N3*O3)</f>
        <v>150.37593984962399</v>
      </c>
    </row>
    <row r="4" spans="1:20" x14ac:dyDescent="0.3">
      <c r="A4" s="3">
        <v>544000</v>
      </c>
      <c r="B4" s="3">
        <v>1</v>
      </c>
      <c r="C4" s="3">
        <v>38</v>
      </c>
      <c r="D4" s="3">
        <v>6</v>
      </c>
      <c r="E4" s="3">
        <v>0.95</v>
      </c>
      <c r="F4" s="3">
        <f t="shared" ref="F4:F10" si="1">A4*B4/(C4*D4*E4)</f>
        <v>2511.5420129270547</v>
      </c>
      <c r="G4" s="3">
        <v>617.12</v>
      </c>
      <c r="H4" s="3">
        <f t="shared" si="0"/>
        <v>4.0697789942426992</v>
      </c>
      <c r="J4" s="3">
        <v>20000</v>
      </c>
      <c r="K4" s="3">
        <v>0.9</v>
      </c>
      <c r="L4" s="3">
        <v>16</v>
      </c>
      <c r="M4" s="3">
        <v>1.75</v>
      </c>
      <c r="N4" s="3">
        <v>6</v>
      </c>
      <c r="O4" s="3">
        <v>0.95</v>
      </c>
      <c r="P4" s="3">
        <f t="shared" ref="P4:P10" si="2">J4*K4/(L4*M4*N4*O4)</f>
        <v>112.78195488721801</v>
      </c>
    </row>
    <row r="5" spans="1:20" x14ac:dyDescent="0.3">
      <c r="A5" s="3">
        <v>544000</v>
      </c>
      <c r="B5" s="3">
        <v>1</v>
      </c>
      <c r="C5" s="3">
        <v>40</v>
      </c>
      <c r="D5" s="3">
        <v>6</v>
      </c>
      <c r="E5" s="3">
        <v>0.95</v>
      </c>
      <c r="F5" s="3">
        <f t="shared" si="1"/>
        <v>2385.9649122807018</v>
      </c>
      <c r="G5" s="3">
        <v>617.12</v>
      </c>
      <c r="H5" s="3">
        <f t="shared" si="0"/>
        <v>3.8662900445305644</v>
      </c>
      <c r="J5" s="3">
        <v>20000</v>
      </c>
      <c r="K5" s="3">
        <v>0.9</v>
      </c>
      <c r="L5" s="3">
        <v>16</v>
      </c>
      <c r="M5" s="3">
        <v>1.75</v>
      </c>
      <c r="N5" s="3">
        <v>6</v>
      </c>
      <c r="O5" s="3">
        <v>0.95</v>
      </c>
      <c r="P5" s="3">
        <f t="shared" si="2"/>
        <v>112.78195488721801</v>
      </c>
    </row>
    <row r="6" spans="1:20" x14ac:dyDescent="0.3">
      <c r="A6" s="3">
        <v>544000</v>
      </c>
      <c r="B6" s="3">
        <v>1</v>
      </c>
      <c r="C6" s="3">
        <v>42</v>
      </c>
      <c r="D6" s="3">
        <v>6</v>
      </c>
      <c r="E6" s="3">
        <v>0.95</v>
      </c>
      <c r="F6" s="3">
        <f t="shared" ref="F6" si="3">A6*B6/(C6*D6*E6)</f>
        <v>2272.3475355054306</v>
      </c>
      <c r="G6" s="3">
        <v>617.12</v>
      </c>
      <c r="H6" s="3">
        <f t="shared" ref="H6" si="4">F6/G6</f>
        <v>3.6821809947910142</v>
      </c>
      <c r="J6" s="3">
        <v>20000</v>
      </c>
      <c r="K6" s="3">
        <v>0.9</v>
      </c>
      <c r="L6" s="3">
        <v>16</v>
      </c>
      <c r="M6" s="3">
        <v>1.75</v>
      </c>
      <c r="N6" s="3">
        <v>6</v>
      </c>
      <c r="O6" s="3">
        <v>0.95</v>
      </c>
      <c r="P6" s="3">
        <f t="shared" si="2"/>
        <v>112.78195488721801</v>
      </c>
    </row>
    <row r="7" spans="1:20" x14ac:dyDescent="0.3">
      <c r="A7" s="3">
        <v>544000</v>
      </c>
      <c r="B7" s="3">
        <v>1</v>
      </c>
      <c r="C7" s="3">
        <v>44</v>
      </c>
      <c r="D7" s="3">
        <v>6</v>
      </c>
      <c r="E7" s="3">
        <v>0.95</v>
      </c>
      <c r="F7" s="3">
        <f t="shared" si="1"/>
        <v>2169.0590111642746</v>
      </c>
      <c r="G7" s="3">
        <v>617.12</v>
      </c>
      <c r="H7" s="3">
        <f t="shared" si="0"/>
        <v>3.5148091313914223</v>
      </c>
      <c r="J7" s="3">
        <v>20000</v>
      </c>
      <c r="K7" s="3">
        <v>0.9</v>
      </c>
      <c r="L7" s="3">
        <v>16</v>
      </c>
      <c r="M7" s="3">
        <v>1.75</v>
      </c>
      <c r="N7" s="3">
        <v>6</v>
      </c>
      <c r="O7" s="3">
        <v>0.95</v>
      </c>
      <c r="P7" s="3">
        <f t="shared" si="2"/>
        <v>112.78195488721801</v>
      </c>
    </row>
    <row r="8" spans="1:20" x14ac:dyDescent="0.3">
      <c r="A8" s="3">
        <v>544000</v>
      </c>
      <c r="B8" s="3">
        <v>1</v>
      </c>
      <c r="C8" s="3">
        <v>46</v>
      </c>
      <c r="D8" s="3">
        <v>6</v>
      </c>
      <c r="E8" s="3">
        <v>0.95</v>
      </c>
      <c r="F8" s="3">
        <f t="shared" si="1"/>
        <v>2074.7520976353931</v>
      </c>
      <c r="G8" s="3">
        <v>617.12</v>
      </c>
      <c r="H8" s="3">
        <f t="shared" si="0"/>
        <v>3.3619913430700561</v>
      </c>
      <c r="J8" s="3">
        <v>20000</v>
      </c>
      <c r="K8" s="3">
        <v>0.9</v>
      </c>
      <c r="L8" s="3">
        <v>16</v>
      </c>
      <c r="M8" s="3">
        <v>1.75</v>
      </c>
      <c r="N8" s="3">
        <v>6</v>
      </c>
      <c r="O8" s="3">
        <v>0.95</v>
      </c>
      <c r="P8" s="3">
        <f t="shared" si="2"/>
        <v>112.78195488721801</v>
      </c>
    </row>
    <row r="9" spans="1:20" x14ac:dyDescent="0.3">
      <c r="A9" s="3">
        <v>544000</v>
      </c>
      <c r="B9" s="3">
        <v>1</v>
      </c>
      <c r="C9" s="3">
        <v>48</v>
      </c>
      <c r="D9" s="3">
        <v>6</v>
      </c>
      <c r="E9" s="3">
        <v>0.95</v>
      </c>
      <c r="F9" s="3">
        <f t="shared" si="1"/>
        <v>1988.3040935672518</v>
      </c>
      <c r="G9" s="3">
        <v>617.12</v>
      </c>
      <c r="H9" s="3">
        <f t="shared" si="0"/>
        <v>3.2219083704421374</v>
      </c>
      <c r="J9" s="3">
        <v>20000</v>
      </c>
      <c r="K9" s="3">
        <v>0.9</v>
      </c>
      <c r="L9" s="3">
        <v>16</v>
      </c>
      <c r="M9" s="3">
        <v>1.75</v>
      </c>
      <c r="N9" s="3">
        <v>6</v>
      </c>
      <c r="O9" s="3">
        <v>0.95</v>
      </c>
      <c r="P9" s="3">
        <f t="shared" si="2"/>
        <v>112.78195488721801</v>
      </c>
    </row>
    <row r="10" spans="1:20" x14ac:dyDescent="0.3">
      <c r="A10" s="3">
        <v>544000</v>
      </c>
      <c r="B10" s="3">
        <v>1</v>
      </c>
      <c r="C10" s="3">
        <v>50</v>
      </c>
      <c r="D10" s="3">
        <v>6</v>
      </c>
      <c r="E10" s="3">
        <v>0.95</v>
      </c>
      <c r="F10" s="3">
        <f t="shared" si="1"/>
        <v>1908.7719298245613</v>
      </c>
      <c r="G10" s="3">
        <v>617.12</v>
      </c>
      <c r="H10" s="3">
        <f t="shared" si="0"/>
        <v>3.0930320356244509</v>
      </c>
      <c r="J10" s="3">
        <v>20000</v>
      </c>
      <c r="K10" s="3">
        <v>0.9</v>
      </c>
      <c r="L10" s="3">
        <v>16</v>
      </c>
      <c r="M10" s="3">
        <v>1.75</v>
      </c>
      <c r="N10" s="3">
        <v>6</v>
      </c>
      <c r="O10" s="3">
        <v>0.95</v>
      </c>
      <c r="P10" s="3">
        <f t="shared" si="2"/>
        <v>112.78195488721801</v>
      </c>
    </row>
    <row r="11" spans="1:20" ht="24" x14ac:dyDescent="0.3">
      <c r="A11" s="4" t="s">
        <v>529</v>
      </c>
      <c r="B11" s="4" t="s">
        <v>530</v>
      </c>
      <c r="C11" s="4" t="s">
        <v>531</v>
      </c>
      <c r="D11" s="5"/>
      <c r="E11" s="4" t="s">
        <v>532</v>
      </c>
      <c r="F11" s="5"/>
      <c r="G11" s="4" t="s">
        <v>533</v>
      </c>
      <c r="H11" s="4" t="s">
        <v>534</v>
      </c>
      <c r="J11" s="4" t="s">
        <v>529</v>
      </c>
      <c r="K11" s="4"/>
      <c r="L11" s="4" t="s">
        <v>531</v>
      </c>
      <c r="M11" s="6"/>
      <c r="N11" s="6"/>
      <c r="O11" s="4" t="s">
        <v>532</v>
      </c>
      <c r="P11" s="6"/>
    </row>
    <row r="13" spans="1:20" ht="14.5" customHeight="1" x14ac:dyDescent="0.3">
      <c r="A13" s="115" t="s">
        <v>535</v>
      </c>
      <c r="B13" s="115"/>
      <c r="C13" s="115"/>
      <c r="D13" s="115"/>
      <c r="E13" s="115"/>
      <c r="F13" s="115"/>
      <c r="G13" s="115"/>
      <c r="H13" s="115"/>
      <c r="I13" s="7"/>
      <c r="J13" s="116" t="s">
        <v>536</v>
      </c>
      <c r="K13" s="116"/>
      <c r="L13" s="117"/>
      <c r="M13" s="117"/>
      <c r="N13" s="117"/>
      <c r="O13" s="117"/>
      <c r="P13" s="117"/>
      <c r="Q13" s="7"/>
      <c r="R13" s="7"/>
      <c r="S13" s="7"/>
      <c r="T13" s="7"/>
    </row>
    <row r="14" spans="1:20" x14ac:dyDescent="0.3">
      <c r="A14" s="117" t="s">
        <v>537</v>
      </c>
      <c r="B14" s="117"/>
      <c r="C14" s="117"/>
      <c r="D14" s="117"/>
      <c r="E14" s="117"/>
      <c r="F14" s="117"/>
      <c r="G14" s="117"/>
      <c r="H14" s="117"/>
      <c r="I14" s="7"/>
      <c r="J14" s="116" t="s">
        <v>538</v>
      </c>
      <c r="K14" s="116"/>
      <c r="L14" s="117"/>
      <c r="M14" s="117"/>
      <c r="N14" s="117"/>
      <c r="O14" s="117"/>
      <c r="P14" s="117"/>
      <c r="Q14" s="7"/>
      <c r="R14" s="7"/>
      <c r="S14" s="7"/>
      <c r="T14" s="7"/>
    </row>
    <row r="15" spans="1:20" x14ac:dyDescent="0.3">
      <c r="A15" s="117" t="s">
        <v>539</v>
      </c>
      <c r="B15" s="117"/>
      <c r="C15" s="117"/>
      <c r="D15" s="117"/>
      <c r="E15" s="117"/>
      <c r="F15" s="117"/>
      <c r="G15" s="117"/>
      <c r="H15" s="117"/>
      <c r="I15" s="7"/>
      <c r="J15" s="117" t="s">
        <v>540</v>
      </c>
      <c r="K15" s="117"/>
      <c r="L15" s="117"/>
      <c r="M15" s="117"/>
      <c r="N15" s="117"/>
      <c r="O15" s="117"/>
      <c r="P15" s="117"/>
      <c r="Q15" s="7"/>
      <c r="R15" s="7"/>
      <c r="S15" s="7"/>
      <c r="T15" s="7"/>
    </row>
    <row r="16" spans="1:20" x14ac:dyDescent="0.3">
      <c r="A16" s="117" t="s">
        <v>541</v>
      </c>
      <c r="B16" s="117"/>
      <c r="C16" s="117"/>
      <c r="D16" s="117"/>
      <c r="E16" s="117"/>
      <c r="F16" s="117"/>
      <c r="G16" s="117"/>
      <c r="H16" s="117"/>
      <c r="I16" s="7"/>
      <c r="J16" s="117" t="s">
        <v>542</v>
      </c>
      <c r="K16" s="117"/>
      <c r="L16" s="117"/>
      <c r="M16" s="117"/>
      <c r="N16" s="117"/>
      <c r="O16" s="117"/>
      <c r="P16" s="117"/>
      <c r="Q16" s="7"/>
      <c r="R16" s="7"/>
      <c r="S16" s="7"/>
      <c r="T16" s="7"/>
    </row>
    <row r="17" spans="1:20" x14ac:dyDescent="0.3">
      <c r="A17" s="117" t="s">
        <v>542</v>
      </c>
      <c r="B17" s="117"/>
      <c r="C17" s="117"/>
      <c r="D17" s="117"/>
      <c r="E17" s="117"/>
      <c r="F17" s="117"/>
      <c r="G17" s="117"/>
      <c r="H17" s="117"/>
      <c r="I17" s="7"/>
      <c r="J17" s="117" t="s">
        <v>543</v>
      </c>
      <c r="K17" s="117"/>
      <c r="L17" s="117"/>
      <c r="M17" s="117"/>
      <c r="N17" s="7"/>
      <c r="O17" s="7"/>
      <c r="P17" s="7"/>
      <c r="Q17" s="7"/>
      <c r="R17" s="7"/>
      <c r="S17" s="7"/>
      <c r="T17" s="7"/>
    </row>
    <row r="18" spans="1:20" x14ac:dyDescent="0.3">
      <c r="A18" s="117" t="s">
        <v>544</v>
      </c>
      <c r="B18" s="117"/>
      <c r="C18" s="117"/>
      <c r="D18" s="117"/>
      <c r="E18" s="117"/>
      <c r="F18" s="117"/>
      <c r="G18" s="117"/>
      <c r="H18" s="117"/>
      <c r="I18" s="7"/>
      <c r="J18" s="117" t="s">
        <v>545</v>
      </c>
      <c r="K18" s="117"/>
      <c r="L18" s="117"/>
      <c r="M18" s="117"/>
      <c r="N18" s="117"/>
      <c r="O18" s="7"/>
      <c r="P18" s="7"/>
      <c r="Q18" s="7"/>
      <c r="R18" s="7"/>
      <c r="S18" s="7"/>
      <c r="T18" s="7"/>
    </row>
    <row r="19" spans="1:20" x14ac:dyDescent="0.3">
      <c r="A19" s="117" t="s">
        <v>546</v>
      </c>
      <c r="B19" s="117"/>
      <c r="C19" s="117"/>
      <c r="D19" s="117"/>
      <c r="E19" s="117"/>
      <c r="F19" s="117"/>
      <c r="G19" s="117"/>
      <c r="H19" s="117"/>
      <c r="I19" s="7"/>
      <c r="J19" s="116" t="s">
        <v>547</v>
      </c>
      <c r="K19" s="116"/>
      <c r="L19" s="116"/>
      <c r="M19" s="7"/>
      <c r="N19" s="7"/>
      <c r="O19" s="7"/>
      <c r="P19" s="7"/>
      <c r="Q19" s="7"/>
      <c r="R19" s="7"/>
      <c r="S19" s="7"/>
      <c r="T19" s="7"/>
    </row>
    <row r="20" spans="1:20" x14ac:dyDescent="0.3">
      <c r="A20" s="116" t="s">
        <v>548</v>
      </c>
      <c r="B20" s="116"/>
      <c r="C20" s="116"/>
      <c r="D20" s="116"/>
      <c r="E20" s="116"/>
      <c r="F20" s="116"/>
      <c r="G20" s="116"/>
      <c r="H20" s="116"/>
      <c r="I20" s="7"/>
      <c r="J20" s="117" t="s">
        <v>549</v>
      </c>
      <c r="K20" s="117"/>
      <c r="L20" s="117"/>
      <c r="M20" s="117"/>
      <c r="N20" s="117"/>
      <c r="O20" s="117"/>
      <c r="P20" s="7"/>
      <c r="Q20" s="7"/>
      <c r="R20" s="7"/>
      <c r="S20" s="7"/>
      <c r="T20" s="7"/>
    </row>
    <row r="21" spans="1:20" x14ac:dyDescent="0.3">
      <c r="A21" s="117" t="s">
        <v>550</v>
      </c>
      <c r="B21" s="117"/>
      <c r="C21" s="117"/>
      <c r="D21" s="117"/>
      <c r="E21" s="117"/>
      <c r="F21" s="117"/>
      <c r="G21" s="117"/>
      <c r="H21" s="117"/>
      <c r="J21" s="116" t="s">
        <v>551</v>
      </c>
      <c r="K21" s="116"/>
      <c r="L21" s="117"/>
      <c r="M21" s="117"/>
    </row>
    <row r="22" spans="1:20" x14ac:dyDescent="0.3">
      <c r="A22" s="117" t="s">
        <v>552</v>
      </c>
      <c r="B22" s="117"/>
      <c r="C22" s="117"/>
      <c r="D22" s="117"/>
      <c r="E22" s="117"/>
      <c r="F22" s="117"/>
      <c r="G22" s="117"/>
      <c r="H22" s="117"/>
      <c r="J22" s="117" t="s">
        <v>553</v>
      </c>
      <c r="K22" s="117"/>
      <c r="L22" s="117"/>
      <c r="M22" s="117"/>
    </row>
    <row r="23" spans="1:20" x14ac:dyDescent="0.3">
      <c r="A23" s="117" t="s">
        <v>554</v>
      </c>
      <c r="B23" s="117"/>
      <c r="C23" s="117"/>
      <c r="D23" s="117"/>
      <c r="E23" s="117"/>
      <c r="F23" s="117"/>
      <c r="G23" s="117"/>
      <c r="H23" s="117"/>
      <c r="J23" s="117" t="s">
        <v>555</v>
      </c>
      <c r="K23" s="117"/>
      <c r="L23" s="117"/>
      <c r="M23" s="117"/>
    </row>
    <row r="24" spans="1:20" x14ac:dyDescent="0.3">
      <c r="A24" s="117" t="s">
        <v>556</v>
      </c>
      <c r="B24" s="117"/>
      <c r="C24" s="117"/>
      <c r="D24" s="117"/>
      <c r="E24" s="117"/>
      <c r="F24" s="117"/>
      <c r="G24" s="117"/>
      <c r="H24" s="117"/>
      <c r="J24" s="117" t="s">
        <v>557</v>
      </c>
      <c r="K24" s="117"/>
      <c r="L24" s="117"/>
      <c r="M24" s="117"/>
    </row>
    <row r="25" spans="1:20" x14ac:dyDescent="0.3">
      <c r="A25" s="117" t="s">
        <v>558</v>
      </c>
      <c r="B25" s="117"/>
      <c r="C25" s="117"/>
      <c r="D25" s="117"/>
      <c r="E25" s="117"/>
      <c r="F25" s="117"/>
      <c r="G25" s="117"/>
      <c r="H25" s="117"/>
    </row>
    <row r="27" spans="1:20" x14ac:dyDescent="0.3">
      <c r="A27" s="113" t="s">
        <v>559</v>
      </c>
      <c r="B27" s="118"/>
      <c r="C27" s="118"/>
      <c r="D27" s="118"/>
      <c r="E27" s="118"/>
      <c r="F27" s="118"/>
      <c r="G27" s="118"/>
      <c r="H27" s="118"/>
      <c r="I27" s="118"/>
    </row>
    <row r="28" spans="1:20" ht="15" x14ac:dyDescent="0.3">
      <c r="A28" s="8" t="s">
        <v>560</v>
      </c>
      <c r="B28" s="8" t="s">
        <v>3</v>
      </c>
      <c r="C28" s="8" t="s">
        <v>561</v>
      </c>
      <c r="D28" s="8" t="s">
        <v>562</v>
      </c>
      <c r="E28" s="8" t="s">
        <v>563</v>
      </c>
      <c r="F28" s="8" t="s">
        <v>564</v>
      </c>
      <c r="G28" s="8" t="s">
        <v>565</v>
      </c>
      <c r="H28" s="8" t="s">
        <v>566</v>
      </c>
      <c r="I28" s="8" t="s">
        <v>567</v>
      </c>
      <c r="J28" s="8" t="s">
        <v>568</v>
      </c>
      <c r="K28" s="8" t="s">
        <v>569</v>
      </c>
      <c r="L28" s="8" t="s">
        <v>570</v>
      </c>
      <c r="M28" s="8" t="s">
        <v>571</v>
      </c>
    </row>
    <row r="29" spans="1:20" x14ac:dyDescent="0.3">
      <c r="A29" s="3">
        <v>160000</v>
      </c>
      <c r="B29" s="3">
        <v>1</v>
      </c>
      <c r="C29" s="3">
        <v>60</v>
      </c>
      <c r="D29" s="3">
        <v>512</v>
      </c>
      <c r="E29" s="3">
        <v>0.93</v>
      </c>
      <c r="F29" s="3">
        <v>0.95</v>
      </c>
      <c r="G29" s="3">
        <f>A29*B29*C29/(D29*E29*F29)/60</f>
        <v>353.70684776457301</v>
      </c>
      <c r="H29" s="9">
        <f>G29/100</f>
        <v>3.5370684776457302</v>
      </c>
      <c r="I29" s="9">
        <f>G29/200</f>
        <v>1.76853423882286</v>
      </c>
      <c r="J29" s="10">
        <f>G29/70</f>
        <v>5.0529549680653201</v>
      </c>
      <c r="K29" s="10">
        <f>G29/140</f>
        <v>2.52647748403266</v>
      </c>
      <c r="L29" s="10">
        <f>G29/210</f>
        <v>1.68431832268844</v>
      </c>
      <c r="M29" s="10">
        <f>G29/280</f>
        <v>1.26323874201633</v>
      </c>
      <c r="N29" s="11" t="s">
        <v>572</v>
      </c>
    </row>
    <row r="30" spans="1:20" x14ac:dyDescent="0.3">
      <c r="A30" s="3">
        <v>160000</v>
      </c>
      <c r="B30" s="3">
        <v>1</v>
      </c>
      <c r="C30" s="3">
        <v>30</v>
      </c>
      <c r="D30" s="3">
        <v>512</v>
      </c>
      <c r="E30" s="10">
        <v>0.9</v>
      </c>
      <c r="F30" s="3">
        <v>0.95</v>
      </c>
      <c r="G30" s="3">
        <f t="shared" ref="G30:G31" si="5">A30*B30*C30/(D30*E30*F30)/60</f>
        <v>182.74853801169601</v>
      </c>
      <c r="H30" s="10">
        <f t="shared" ref="H30:H31" si="6">G30/100</f>
        <v>1.8274853801169599</v>
      </c>
      <c r="I30" s="10">
        <f t="shared" ref="I30:I31" si="7">G30/200</f>
        <v>0.91374269005847997</v>
      </c>
      <c r="J30" s="9">
        <f>G30/70</f>
        <v>2.6106934001670798</v>
      </c>
      <c r="K30" s="9">
        <f>G30/140</f>
        <v>1.3053467000835399</v>
      </c>
      <c r="L30" s="9">
        <f>G30/210</f>
        <v>0.87023113338902802</v>
      </c>
      <c r="M30" s="9">
        <f>G30/280</f>
        <v>0.65267335004177096</v>
      </c>
      <c r="N30" s="11" t="s">
        <v>573</v>
      </c>
    </row>
    <row r="31" spans="1:20" x14ac:dyDescent="0.3">
      <c r="A31" s="3">
        <v>300000</v>
      </c>
      <c r="B31" s="3">
        <v>1</v>
      </c>
      <c r="C31" s="3">
        <v>15</v>
      </c>
      <c r="D31" s="3">
        <v>512</v>
      </c>
      <c r="E31" s="3">
        <v>0.84</v>
      </c>
      <c r="F31" s="3">
        <v>0.95</v>
      </c>
      <c r="G31" s="3">
        <f t="shared" si="5"/>
        <v>183.56437969924801</v>
      </c>
      <c r="H31" s="10">
        <f t="shared" si="6"/>
        <v>1.8356437969924799</v>
      </c>
      <c r="I31" s="10">
        <f t="shared" si="7"/>
        <v>0.91782189849624096</v>
      </c>
      <c r="J31" s="9">
        <f>G31/70</f>
        <v>2.6223482814178301</v>
      </c>
      <c r="K31" s="9">
        <f>G31/140</f>
        <v>1.3111741407089199</v>
      </c>
      <c r="L31" s="9">
        <f>G31/210</f>
        <v>0.87411609380594302</v>
      </c>
      <c r="M31" s="9">
        <f>G31/280</f>
        <v>0.65558707035445796</v>
      </c>
      <c r="N31" s="11" t="s">
        <v>574</v>
      </c>
    </row>
    <row r="32" spans="1:20" x14ac:dyDescent="0.3">
      <c r="A32" s="119" t="s">
        <v>575</v>
      </c>
      <c r="B32" s="119"/>
      <c r="C32" s="119"/>
      <c r="D32" s="119"/>
    </row>
    <row r="33" spans="1:4" x14ac:dyDescent="0.3">
      <c r="A33" s="117" t="s">
        <v>576</v>
      </c>
      <c r="B33" s="117"/>
      <c r="C33" s="117"/>
      <c r="D33" s="117"/>
    </row>
    <row r="34" spans="1:4" x14ac:dyDescent="0.3">
      <c r="A34" s="117" t="s">
        <v>577</v>
      </c>
      <c r="B34" s="117"/>
      <c r="C34" s="117"/>
      <c r="D34" s="117"/>
    </row>
    <row r="35" spans="1:4" x14ac:dyDescent="0.3">
      <c r="A35" s="117" t="s">
        <v>578</v>
      </c>
      <c r="B35" s="117"/>
      <c r="C35" s="117"/>
      <c r="D35" s="117"/>
    </row>
  </sheetData>
  <mergeCells count="32">
    <mergeCell ref="A33:D33"/>
    <mergeCell ref="A34:D34"/>
    <mergeCell ref="A35:D35"/>
    <mergeCell ref="A24:H24"/>
    <mergeCell ref="J24:M24"/>
    <mergeCell ref="A25:H25"/>
    <mergeCell ref="A27:I27"/>
    <mergeCell ref="A32:D32"/>
    <mergeCell ref="A21:H21"/>
    <mergeCell ref="J21:M21"/>
    <mergeCell ref="A22:H22"/>
    <mergeCell ref="J22:M22"/>
    <mergeCell ref="A23:H23"/>
    <mergeCell ref="J23:M23"/>
    <mergeCell ref="A18:H18"/>
    <mergeCell ref="J18:N18"/>
    <mergeCell ref="A19:H19"/>
    <mergeCell ref="J19:L19"/>
    <mergeCell ref="A20:H20"/>
    <mergeCell ref="J20:O20"/>
    <mergeCell ref="A15:H15"/>
    <mergeCell ref="J15:P15"/>
    <mergeCell ref="A16:H16"/>
    <mergeCell ref="J16:P16"/>
    <mergeCell ref="A17:H17"/>
    <mergeCell ref="J17:M17"/>
    <mergeCell ref="A1:H1"/>
    <mergeCell ref="J1:P1"/>
    <mergeCell ref="A13:H13"/>
    <mergeCell ref="J13:P13"/>
    <mergeCell ref="A14:H14"/>
    <mergeCell ref="J14:P14"/>
  </mergeCells>
  <phoneticPr fontId="1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太行UR</vt:lpstr>
      <vt:lpstr>UR泰尔</vt:lpstr>
      <vt:lpstr>昆仑UE</vt:lpstr>
      <vt:lpstr>UE泰尔</vt:lpstr>
      <vt:lpstr>祁连UM</vt:lpstr>
      <vt:lpstr>UM泰尔</vt:lpstr>
      <vt:lpstr>泰山UT</vt:lpstr>
      <vt:lpstr>UT泰尔</vt:lpstr>
      <vt:lpstr>电池泰尔</vt:lpstr>
      <vt:lpstr>配置计算公式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 Z</cp:lastModifiedBy>
  <dcterms:created xsi:type="dcterms:W3CDTF">2015-06-05T18:19:00Z</dcterms:created>
  <dcterms:modified xsi:type="dcterms:W3CDTF">2026-05-14T01:45:12Z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641652DE75D4413FA8BCD29126D22D39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