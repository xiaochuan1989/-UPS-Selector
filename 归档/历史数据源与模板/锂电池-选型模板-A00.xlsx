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laude 安装\UPS选型助手_开发包_v1.1\"/>
    </mc:Choice>
  </mc:AlternateContent>
  <xr:revisionPtr revIDLastSave="0" documentId="13_ncr:1_{05984AF6-EA5C-443D-B607-28EAB347AC11}" xr6:coauthVersionLast="47" xr6:coauthVersionMax="47" xr10:uidLastSave="{00000000-0000-0000-0000-000000000000}"/>
  <bookViews>
    <workbookView xWindow="-120" yWindow="-120" windowWidth="29040" windowHeight="15720" tabRatio="797" xr2:uid="{00000000-000D-0000-FFFF-FFFF00000000}"/>
  </bookViews>
  <sheets>
    <sheet name="锂电池选型" sheetId="12" r:id="rId1"/>
    <sheet name="UPS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2" l="1"/>
  <c r="J2" i="12" s="1" a="1"/>
  <c r="J2" i="12" s="1"/>
  <c r="C2" i="12"/>
  <c r="F2" i="12" l="1"/>
  <c r="K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陈川川</author>
  </authors>
  <commentList>
    <comment ref="G1" authorId="0" shapeId="0" xr:uid="{7E9FF9FB-7C6A-4AF4-B7DD-2EFA020ACB74}">
      <text>
        <r>
          <rPr>
            <sz val="9"/>
            <color indexed="81"/>
            <rFont val="宋体"/>
            <family val="3"/>
            <charset val="134"/>
          </rPr>
          <t>整体取0.95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<sst xmlns="http://schemas.openxmlformats.org/spreadsheetml/2006/main" count="13" uniqueCount="13">
  <si>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UPS单机容量（kVA）</t>
  </si>
  <si>
    <t>逆变器效率μ（0.9~1）</t>
    <phoneticPr fontId="2" type="noConversion"/>
  </si>
  <si>
    <t>功率因数cosφ（0.8~1）</t>
    <phoneticPr fontId="2" type="noConversion"/>
  </si>
  <si>
    <t>电池组数量</t>
    <phoneticPr fontId="2" type="noConversion"/>
  </si>
  <si>
    <t>UPS功率（kVA）</t>
    <phoneticPr fontId="2" type="noConversion"/>
  </si>
  <si>
    <t>电池输出效率</t>
    <phoneticPr fontId="2" type="noConversion"/>
  </si>
  <si>
    <t>电芯放电倍率</t>
    <phoneticPr fontId="2" type="noConversion"/>
  </si>
  <si>
    <t>3.2V模组内电芯串联数量</t>
    <phoneticPr fontId="2" type="noConversion"/>
  </si>
  <si>
    <t>标称电压</t>
    <phoneticPr fontId="2" type="noConversion"/>
  </si>
  <si>
    <t>电芯平台电压(V)</t>
    <phoneticPr fontId="2" type="noConversion"/>
  </si>
  <si>
    <t>放电时间(h)</t>
    <phoneticPr fontId="2" type="noConversion"/>
  </si>
  <si>
    <t>计算电池容量(Ah)</t>
    <phoneticPr fontId="2" type="noConversion"/>
  </si>
  <si>
    <t>负载功率（kW）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</si>
</sst>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9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name val="黑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b/>
      <sz val="10"/>
      <name val="黑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Protection="0"/>
  </cellStyleXfs>
  <cellXfs count="17">
    <xf numFmtId="0" fontId="0" fillId="0" borderId="0" xfId="0" applyProtection="1"/>
    <xf numFmtId="0" fontId="3" fillId="0" borderId="0" xfId="0" applyFont="1" applyAlignment="1" applyProtection="1">
      <alignment horizontal="center"/>
    </xf>
    <xf numFmtId="0" fontId="5" fillId="0" borderId="1" xfId="0" applyFont="1" applyBorder="1" applyAlignment="1" applyProtection="1">
      <alignment horizontal="center"/>
    </xf>
    <xf numFmtId="0" fontId="3" fillId="0" borderId="1" xfId="0" applyFont="1" applyBorder="1" applyAlignment="1" applyProtection="1">
      <alignment horizontal="center"/>
    </xf>
    <xf numFmtId="0" fontId="6" fillId="0" borderId="0" xfId="0" applyFont="1" applyProtection="1"/>
    <xf numFmtId="0" fontId="4" fillId="0" borderId="0" xfId="0" applyFont="1" applyProtection="1"/>
    <xf numFmtId="0" fontId="4" fillId="0" borderId="0" xfId="0" applyFont="1" applyAlignment="1" applyProtection="1">
      <alignment horizontal="center" vertical="center"/>
    </xf>
    <xf numFmtId="176" fontId="0" fillId="0" borderId="3" xfId="0" applyNumberForma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176" fontId="1" fillId="0" borderId="3" xfId="0" applyNumberFormat="1" applyFont="1" applyBorder="1" applyAlignment="1" applyProtection="1">
      <alignment horizontal="center" vertical="center"/>
      <protection locked="0"/>
    </xf>
    <xf numFmtId="176" fontId="0" fillId="0" borderId="3" xfId="0" applyNumberFormat="1" applyBorder="1" applyAlignment="1" applyProtection="1">
      <alignment horizontal="center" vertical="center"/>
    </xf>
    <xf numFmtId="177" fontId="7" fillId="0" borderId="2" xfId="0" applyNumberFormat="1" applyFont="1" applyBorder="1" applyAlignment="1" applyProtection="1">
      <alignment horizontal="center" vertical="center" wrapText="1"/>
      <protection locked="0"/>
    </xf>
    <xf numFmtId="177" fontId="7" fillId="0" borderId="3" xfId="0" applyNumberFormat="1" applyFont="1" applyBorder="1" applyAlignment="1" applyProtection="1">
      <alignment horizontal="center" vertical="center" wrapText="1"/>
      <protection locked="0"/>
    </xf>
    <xf numFmtId="176" fontId="4" fillId="0" borderId="3" xfId="0" applyNumberFormat="1" applyFont="1" applyBorder="1" applyAlignment="1" applyProtection="1">
      <alignment horizontal="center" vertical="center" wrapText="1"/>
      <protection locked="0"/>
    </xf>
    <xf numFmtId="176" fontId="0" fillId="0" borderId="3" xfId="0" applyNumberFormat="1" applyBorder="1" applyAlignment="1" applyProtection="1">
      <alignment horizontal="center" vertical="center"/>
      <protection hidden="1"/>
    </xf>
    <xf numFmtId="176" fontId="0" fillId="0" borderId="3" xfId="0" applyNumberFormat="1" applyBorder="1" applyAlignment="1" applyProtection="1">
      <alignment horizontal="center" vertical="center"/>
      <protection locked="0" hidden="1"/>
    </xf>
    <xf numFmtId="177" fontId="3" fillId="0" borderId="3" xfId="0" applyNumberFormat="1" applyFont="1" applyBorder="1" applyAlignment="1" applyProtection="1">
      <alignment horizontal="center" vertical="center"/>
      <protection hidden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3</xdr:row>
      <xdr:rowOff>95250</xdr:rowOff>
    </xdr:from>
    <xdr:to>
      <xdr:col>6</xdr:col>
      <xdr:colOff>561289</xdr:colOff>
      <xdr:row>29</xdr:row>
      <xdr:rowOff>113509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C591D91-C147-E1B6-F2BB-6A0B8A6A8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1143000"/>
          <a:ext cx="5485714" cy="632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L196"/>
  <sheetViews>
    <sheetView tabSelected="1" zoomScale="115" zoomScaleNormal="115" workbookViewId="0">
      <selection activeCell="H10" sqref="H10"/>
    </sheetView>
  </sheetViews>
  <sheetFormatPr defaultRowHeight="14.25" x14ac:dyDescent="0.15"/>
  <cols>
    <col min="2" max="2" width="8.875" customWidth="1"/>
    <col min="3" max="3" width="18.375" bestFit="1" customWidth="1"/>
    <col min="4" max="4" width="12.25" bestFit="1" customWidth="1"/>
    <col min="5" max="5" width="15.25" customWidth="1"/>
    <col min="6" max="7" width="9.125" customWidth="1"/>
    <col min="8" max="8" width="19" customWidth="1"/>
    <col min="9" max="9" width="13.25" customWidth="1"/>
    <col min="10" max="10" width="17" customWidth="1"/>
    <col min="11" max="11" width="20.75" customWidth="1"/>
    <col min="12" max="12" width="17.625" customWidth="1"/>
  </cols>
  <sheetData>
    <row r="1" spans="1:12" ht="54" customHeight="1" x14ac:dyDescent="0.15">
      <c r="A1" s="11" t="s">
        <v>12</v>
      </c>
      <c r="B1" s="11" t="s">
        <v>4</v>
      </c>
      <c r="C1" s="11" t="s">
        <v>7</v>
      </c>
      <c r="D1" s="11" t="s">
        <v>3</v>
      </c>
      <c r="E1" s="11" t="s">
        <v>2</v>
      </c>
      <c r="F1" s="11" t="s">
        <v>1</v>
      </c>
      <c r="G1" s="12" t="s">
        <v>5</v>
      </c>
      <c r="H1" s="11" t="s">
        <v>10</v>
      </c>
      <c r="I1" s="11" t="s">
        <v>6</v>
      </c>
      <c r="J1" s="11" t="s">
        <v>9</v>
      </c>
      <c r="K1" s="12" t="s">
        <v>11</v>
      </c>
      <c r="L1" s="11" t="s">
        <v>8</v>
      </c>
    </row>
    <row r="2" spans="1:12" x14ac:dyDescent="0.15">
      <c r="A2" s="8">
        <v>500</v>
      </c>
      <c r="B2" s="8">
        <v>600</v>
      </c>
      <c r="C2" s="14">
        <f>L2/3.2</f>
        <v>160</v>
      </c>
      <c r="D2" s="7">
        <v>2</v>
      </c>
      <c r="E2" s="7">
        <v>0.8</v>
      </c>
      <c r="F2" s="10">
        <f>IF(B2&gt;100,0.95,0.93)</f>
        <v>0.95</v>
      </c>
      <c r="G2" s="15">
        <v>0.95</v>
      </c>
      <c r="H2" s="9">
        <v>0.25</v>
      </c>
      <c r="I2" s="14">
        <f>1/H2</f>
        <v>4</v>
      </c>
      <c r="J2" s="14" cm="1">
        <f t="array" ref="J2">_xlfn.IFS(I2&lt;=1,3.15,AND(I2&gt;1,I2&lt;=3),3.12,AND(I2&gt;=4,I2&lt;=6),3.05,I2&gt;6,3.02)</f>
        <v>3.05</v>
      </c>
      <c r="K2" s="16">
        <f>IF(A2="",B2*E2*1000*H2/(F2*C2*D2*G2*J2),A2*1000*H2/(F2*C2*D2*G2*J2))</f>
        <v>141.90999500476818</v>
      </c>
      <c r="L2" s="13">
        <v>512</v>
      </c>
    </row>
    <row r="6" spans="1:12" ht="20.100000000000001" customHeight="1" x14ac:dyDescent="0.15">
      <c r="H6" s="6"/>
    </row>
    <row r="7" spans="1:12" ht="20.100000000000001" customHeight="1" x14ac:dyDescent="0.15">
      <c r="H7" s="6"/>
    </row>
    <row r="8" spans="1:12" ht="20.100000000000001" customHeight="1" x14ac:dyDescent="0.15">
      <c r="H8" s="6"/>
    </row>
    <row r="9" spans="1:12" ht="20.100000000000001" customHeight="1" x14ac:dyDescent="0.15">
      <c r="H9" s="6"/>
    </row>
    <row r="10" spans="1:12" ht="20.100000000000001" customHeight="1" x14ac:dyDescent="0.15">
      <c r="H10" s="6"/>
    </row>
    <row r="11" spans="1:12" ht="20.100000000000001" customHeight="1" x14ac:dyDescent="0.15">
      <c r="H11" s="6"/>
    </row>
    <row r="12" spans="1:12" ht="20.100000000000001" customHeight="1" x14ac:dyDescent="0.15">
      <c r="H12" s="6"/>
    </row>
    <row r="13" spans="1:12" ht="20.100000000000001" customHeight="1" x14ac:dyDescent="0.15">
      <c r="H13" s="6"/>
    </row>
    <row r="14" spans="1:12" ht="20.100000000000001" customHeight="1" x14ac:dyDescent="0.15">
      <c r="H14" s="6"/>
    </row>
    <row r="15" spans="1:12" ht="20.100000000000001" customHeight="1" x14ac:dyDescent="0.15">
      <c r="H15" s="6"/>
    </row>
    <row r="16" spans="1:12" ht="20.100000000000001" customHeight="1" x14ac:dyDescent="0.15">
      <c r="H16" s="6"/>
    </row>
    <row r="17" spans="8:8" ht="20.100000000000001" customHeight="1" x14ac:dyDescent="0.15">
      <c r="H17" s="6"/>
    </row>
    <row r="18" spans="8:8" ht="20.100000000000001" customHeight="1" x14ac:dyDescent="0.15">
      <c r="H18" s="6"/>
    </row>
    <row r="19" spans="8:8" ht="20.100000000000001" customHeight="1" x14ac:dyDescent="0.15">
      <c r="H19" s="6"/>
    </row>
    <row r="20" spans="8:8" ht="20.100000000000001" customHeight="1" x14ac:dyDescent="0.15">
      <c r="H20" s="6"/>
    </row>
    <row r="21" spans="8:8" ht="20.100000000000001" customHeight="1" x14ac:dyDescent="0.15">
      <c r="H21" s="6"/>
    </row>
    <row r="22" spans="8:8" ht="20.100000000000001" customHeight="1" x14ac:dyDescent="0.15">
      <c r="H22" s="6"/>
    </row>
    <row r="23" spans="8:8" ht="20.100000000000001" customHeight="1" x14ac:dyDescent="0.15">
      <c r="H23" s="6"/>
    </row>
    <row r="24" spans="8:8" ht="20.100000000000001" customHeight="1" x14ac:dyDescent="0.15">
      <c r="H24" s="6"/>
    </row>
    <row r="25" spans="8:8" ht="20.100000000000001" customHeight="1" x14ac:dyDescent="0.15">
      <c r="H25" s="6"/>
    </row>
    <row r="26" spans="8:8" ht="20.100000000000001" customHeight="1" x14ac:dyDescent="0.15">
      <c r="H26" s="6"/>
    </row>
    <row r="27" spans="8:8" ht="20.100000000000001" customHeight="1" x14ac:dyDescent="0.15">
      <c r="H27" s="6"/>
    </row>
    <row r="28" spans="8:8" ht="20.100000000000001" customHeight="1" x14ac:dyDescent="0.15">
      <c r="H28" s="6"/>
    </row>
    <row r="29" spans="8:8" ht="20.100000000000001" customHeight="1" x14ac:dyDescent="0.15">
      <c r="H29" s="6"/>
    </row>
    <row r="30" spans="8:8" ht="20.100000000000001" customHeight="1" x14ac:dyDescent="0.15">
      <c r="H30" s="6"/>
    </row>
    <row r="31" spans="8:8" ht="20.100000000000001" customHeight="1" x14ac:dyDescent="0.15">
      <c r="H31" s="6"/>
    </row>
    <row r="32" spans="8:8" ht="20.100000000000001" customHeight="1" x14ac:dyDescent="0.15">
      <c r="H32" s="6"/>
    </row>
    <row r="33" spans="8:8" ht="20.100000000000001" customHeight="1" x14ac:dyDescent="0.15">
      <c r="H33" s="6"/>
    </row>
    <row r="34" spans="8:8" ht="20.100000000000001" customHeight="1" x14ac:dyDescent="0.15">
      <c r="H34" s="6"/>
    </row>
    <row r="35" spans="8:8" ht="20.100000000000001" customHeight="1" x14ac:dyDescent="0.15">
      <c r="H35" s="6"/>
    </row>
    <row r="36" spans="8:8" ht="20.100000000000001" customHeight="1" x14ac:dyDescent="0.15">
      <c r="H36" s="6"/>
    </row>
    <row r="37" spans="8:8" ht="20.100000000000001" customHeight="1" x14ac:dyDescent="0.15">
      <c r="H37" s="6"/>
    </row>
    <row r="38" spans="8:8" ht="20.100000000000001" customHeight="1" x14ac:dyDescent="0.15">
      <c r="H38" s="5"/>
    </row>
    <row r="39" spans="8:8" ht="20.100000000000001" customHeight="1" x14ac:dyDescent="0.15">
      <c r="H39" s="5"/>
    </row>
    <row r="40" spans="8:8" ht="20.100000000000001" customHeight="1" x14ac:dyDescent="0.15">
      <c r="H40" s="5"/>
    </row>
    <row r="41" spans="8:8" ht="20.100000000000001" customHeight="1" x14ac:dyDescent="0.15">
      <c r="H41" s="5"/>
    </row>
    <row r="42" spans="8:8" ht="20.100000000000001" customHeight="1" x14ac:dyDescent="0.15">
      <c r="H42" s="5"/>
    </row>
    <row r="43" spans="8:8" ht="20.100000000000001" customHeight="1" x14ac:dyDescent="0.15">
      <c r="H43" s="5"/>
    </row>
    <row r="44" spans="8:8" ht="20.100000000000001" customHeight="1" x14ac:dyDescent="0.15">
      <c r="H44" s="5"/>
    </row>
    <row r="45" spans="8:8" ht="20.100000000000001" customHeight="1" x14ac:dyDescent="0.15">
      <c r="H45" s="5"/>
    </row>
    <row r="46" spans="8:8" ht="20.100000000000001" customHeight="1" x14ac:dyDescent="0.15">
      <c r="H46" s="5"/>
    </row>
    <row r="47" spans="8:8" ht="20.100000000000001" customHeight="1" x14ac:dyDescent="0.15">
      <c r="H47" s="5"/>
    </row>
    <row r="48" spans="8:8" ht="20.100000000000001" customHeight="1" x14ac:dyDescent="0.15">
      <c r="H48" s="5"/>
    </row>
    <row r="49" spans="8:8" ht="20.100000000000001" customHeight="1" x14ac:dyDescent="0.15">
      <c r="H49" s="5"/>
    </row>
    <row r="50" spans="8:8" ht="20.100000000000001" customHeight="1" x14ac:dyDescent="0.15">
      <c r="H50" s="5"/>
    </row>
    <row r="51" spans="8:8" ht="20.100000000000001" customHeight="1" x14ac:dyDescent="0.15">
      <c r="H51" s="5"/>
    </row>
    <row r="52" spans="8:8" ht="20.100000000000001" customHeight="1" x14ac:dyDescent="0.15">
      <c r="H52" s="5"/>
    </row>
    <row r="53" spans="8:8" ht="20.100000000000001" customHeight="1" x14ac:dyDescent="0.15">
      <c r="H53" s="5"/>
    </row>
    <row r="54" spans="8:8" ht="20.100000000000001" customHeight="1" x14ac:dyDescent="0.15">
      <c r="H54" s="5"/>
    </row>
    <row r="55" spans="8:8" ht="20.100000000000001" customHeight="1" x14ac:dyDescent="0.15">
      <c r="H55" s="5"/>
    </row>
    <row r="56" spans="8:8" x14ac:dyDescent="0.15">
      <c r="H56" s="5"/>
    </row>
    <row r="57" spans="8:8" x14ac:dyDescent="0.15">
      <c r="H57" s="5"/>
    </row>
    <row r="58" spans="8:8" x14ac:dyDescent="0.15">
      <c r="H58" s="5"/>
    </row>
    <row r="59" spans="8:8" x14ac:dyDescent="0.15">
      <c r="H59" s="5"/>
    </row>
    <row r="60" spans="8:8" x14ac:dyDescent="0.15">
      <c r="H60" s="5"/>
    </row>
    <row r="61" spans="8:8" x14ac:dyDescent="0.15">
      <c r="H61" s="5"/>
    </row>
    <row r="62" spans="8:8" x14ac:dyDescent="0.15">
      <c r="H62" s="5"/>
    </row>
    <row r="63" spans="8:8" x14ac:dyDescent="0.15">
      <c r="H63" s="5"/>
    </row>
    <row r="64" spans="8:8" x14ac:dyDescent="0.15">
      <c r="H64" s="5"/>
    </row>
    <row r="65" spans="8:8" x14ac:dyDescent="0.15">
      <c r="H65" s="5"/>
    </row>
    <row r="66" spans="8:8" x14ac:dyDescent="0.15">
      <c r="H66" s="5"/>
    </row>
    <row r="67" spans="8:8" x14ac:dyDescent="0.15">
      <c r="H67" s="5"/>
    </row>
    <row r="68" spans="8:8" x14ac:dyDescent="0.15">
      <c r="H68" s="5"/>
    </row>
    <row r="69" spans="8:8" x14ac:dyDescent="0.15">
      <c r="H69" s="5"/>
    </row>
    <row r="70" spans="8:8" x14ac:dyDescent="0.15">
      <c r="H70" s="5"/>
    </row>
    <row r="71" spans="8:8" x14ac:dyDescent="0.15">
      <c r="H71" s="5"/>
    </row>
    <row r="72" spans="8:8" x14ac:dyDescent="0.15">
      <c r="H72" s="5"/>
    </row>
    <row r="73" spans="8:8" x14ac:dyDescent="0.15">
      <c r="H73" s="5"/>
    </row>
    <row r="74" spans="8:8" x14ac:dyDescent="0.15">
      <c r="H74" s="5"/>
    </row>
    <row r="75" spans="8:8" x14ac:dyDescent="0.15">
      <c r="H75" s="5"/>
    </row>
    <row r="76" spans="8:8" x14ac:dyDescent="0.15">
      <c r="H76" s="5"/>
    </row>
    <row r="77" spans="8:8" x14ac:dyDescent="0.15">
      <c r="H77" s="5"/>
    </row>
    <row r="78" spans="8:8" x14ac:dyDescent="0.15">
      <c r="H78" s="5"/>
    </row>
    <row r="79" spans="8:8" x14ac:dyDescent="0.15">
      <c r="H79" s="5"/>
    </row>
    <row r="80" spans="8:8" x14ac:dyDescent="0.15">
      <c r="H80" s="5"/>
    </row>
    <row r="81" spans="8:8" x14ac:dyDescent="0.15">
      <c r="H81" s="5"/>
    </row>
    <row r="82" spans="8:8" x14ac:dyDescent="0.15">
      <c r="H82" s="5"/>
    </row>
    <row r="83" spans="8:8" x14ac:dyDescent="0.15">
      <c r="H83" s="5"/>
    </row>
    <row r="84" spans="8:8" x14ac:dyDescent="0.15">
      <c r="H84" s="5"/>
    </row>
    <row r="85" spans="8:8" x14ac:dyDescent="0.15">
      <c r="H85" s="5"/>
    </row>
    <row r="86" spans="8:8" x14ac:dyDescent="0.15">
      <c r="H86" s="5"/>
    </row>
    <row r="87" spans="8:8" x14ac:dyDescent="0.15">
      <c r="H87" s="5"/>
    </row>
    <row r="88" spans="8:8" x14ac:dyDescent="0.15">
      <c r="H88" s="5"/>
    </row>
    <row r="89" spans="8:8" x14ac:dyDescent="0.15">
      <c r="H89" s="5"/>
    </row>
    <row r="90" spans="8:8" x14ac:dyDescent="0.15">
      <c r="H90" s="5"/>
    </row>
    <row r="91" spans="8:8" x14ac:dyDescent="0.15">
      <c r="H91" s="5"/>
    </row>
    <row r="92" spans="8:8" x14ac:dyDescent="0.15">
      <c r="H92" s="5"/>
    </row>
    <row r="93" spans="8:8" x14ac:dyDescent="0.15">
      <c r="H93" s="5"/>
    </row>
    <row r="94" spans="8:8" x14ac:dyDescent="0.15">
      <c r="H94" s="5"/>
    </row>
    <row r="95" spans="8:8" x14ac:dyDescent="0.15">
      <c r="H95" s="5"/>
    </row>
    <row r="96" spans="8:8" x14ac:dyDescent="0.15">
      <c r="H96" s="5"/>
    </row>
    <row r="97" spans="8:8" x14ac:dyDescent="0.15">
      <c r="H97" s="5"/>
    </row>
    <row r="98" spans="8:8" x14ac:dyDescent="0.15">
      <c r="H98" s="5"/>
    </row>
    <row r="99" spans="8:8" x14ac:dyDescent="0.15">
      <c r="H99" s="5"/>
    </row>
    <row r="100" spans="8:8" x14ac:dyDescent="0.15">
      <c r="H100" s="5"/>
    </row>
    <row r="101" spans="8:8" x14ac:dyDescent="0.15">
      <c r="H101" s="5"/>
    </row>
    <row r="102" spans="8:8" x14ac:dyDescent="0.15">
      <c r="H102" s="5"/>
    </row>
    <row r="103" spans="8:8" x14ac:dyDescent="0.15">
      <c r="H103" s="5"/>
    </row>
    <row r="104" spans="8:8" x14ac:dyDescent="0.15">
      <c r="H104" s="5"/>
    </row>
    <row r="105" spans="8:8" x14ac:dyDescent="0.15">
      <c r="H105" s="5"/>
    </row>
    <row r="106" spans="8:8" x14ac:dyDescent="0.15">
      <c r="H106" s="5"/>
    </row>
    <row r="107" spans="8:8" x14ac:dyDescent="0.15">
      <c r="H107" s="5"/>
    </row>
    <row r="108" spans="8:8" x14ac:dyDescent="0.15">
      <c r="H108" s="5"/>
    </row>
    <row r="109" spans="8:8" x14ac:dyDescent="0.15">
      <c r="H109" s="5"/>
    </row>
    <row r="110" spans="8:8" x14ac:dyDescent="0.15">
      <c r="H110" s="5"/>
    </row>
    <row r="111" spans="8:8" x14ac:dyDescent="0.15">
      <c r="H111" s="5"/>
    </row>
    <row r="112" spans="8:8" x14ac:dyDescent="0.15">
      <c r="H112" s="5"/>
    </row>
    <row r="113" spans="8:8" x14ac:dyDescent="0.15">
      <c r="H113" s="5"/>
    </row>
    <row r="114" spans="8:8" x14ac:dyDescent="0.15">
      <c r="H114" s="5"/>
    </row>
    <row r="115" spans="8:8" x14ac:dyDescent="0.15">
      <c r="H115" s="5"/>
    </row>
    <row r="116" spans="8:8" x14ac:dyDescent="0.15">
      <c r="H116" s="5"/>
    </row>
    <row r="117" spans="8:8" x14ac:dyDescent="0.15">
      <c r="H117" s="5"/>
    </row>
    <row r="118" spans="8:8" x14ac:dyDescent="0.15">
      <c r="H118" s="5"/>
    </row>
    <row r="119" spans="8:8" x14ac:dyDescent="0.15">
      <c r="H119" s="5"/>
    </row>
    <row r="120" spans="8:8" x14ac:dyDescent="0.15">
      <c r="H120" s="5"/>
    </row>
    <row r="121" spans="8:8" x14ac:dyDescent="0.15">
      <c r="H121" s="5"/>
    </row>
    <row r="122" spans="8:8" x14ac:dyDescent="0.15">
      <c r="H122" s="5"/>
    </row>
    <row r="123" spans="8:8" x14ac:dyDescent="0.15">
      <c r="H123" s="5"/>
    </row>
    <row r="124" spans="8:8" x14ac:dyDescent="0.15">
      <c r="H124" s="5"/>
    </row>
    <row r="125" spans="8:8" x14ac:dyDescent="0.15">
      <c r="H125" s="5"/>
    </row>
    <row r="126" spans="8:8" x14ac:dyDescent="0.15">
      <c r="H126" s="5"/>
    </row>
    <row r="127" spans="8:8" x14ac:dyDescent="0.15">
      <c r="H127" s="5"/>
    </row>
    <row r="128" spans="8:8" x14ac:dyDescent="0.15">
      <c r="H128" s="5"/>
    </row>
    <row r="129" spans="8:8" x14ac:dyDescent="0.15">
      <c r="H129" s="5"/>
    </row>
    <row r="130" spans="8:8" x14ac:dyDescent="0.15">
      <c r="H130" s="5"/>
    </row>
    <row r="131" spans="8:8" x14ac:dyDescent="0.15">
      <c r="H131" s="5"/>
    </row>
    <row r="132" spans="8:8" x14ac:dyDescent="0.15">
      <c r="H132" s="5"/>
    </row>
    <row r="133" spans="8:8" x14ac:dyDescent="0.15">
      <c r="H133" s="5"/>
    </row>
    <row r="134" spans="8:8" x14ac:dyDescent="0.15">
      <c r="H134" s="5"/>
    </row>
    <row r="135" spans="8:8" x14ac:dyDescent="0.15">
      <c r="H135" s="5"/>
    </row>
    <row r="136" spans="8:8" x14ac:dyDescent="0.15">
      <c r="H136" s="5"/>
    </row>
    <row r="137" spans="8:8" x14ac:dyDescent="0.15">
      <c r="H137" s="5"/>
    </row>
    <row r="138" spans="8:8" x14ac:dyDescent="0.15">
      <c r="H138" s="5"/>
    </row>
    <row r="139" spans="8:8" x14ac:dyDescent="0.15">
      <c r="H139" s="5"/>
    </row>
    <row r="140" spans="8:8" x14ac:dyDescent="0.15">
      <c r="H140" s="5"/>
    </row>
    <row r="141" spans="8:8" x14ac:dyDescent="0.15">
      <c r="H141" s="5"/>
    </row>
    <row r="142" spans="8:8" x14ac:dyDescent="0.15">
      <c r="H142" s="5"/>
    </row>
    <row r="143" spans="8:8" x14ac:dyDescent="0.15">
      <c r="H143" s="5"/>
    </row>
    <row r="144" spans="8:8" x14ac:dyDescent="0.15">
      <c r="H144" s="5"/>
    </row>
    <row r="145" spans="8:8" x14ac:dyDescent="0.15">
      <c r="H145" s="5"/>
    </row>
    <row r="146" spans="8:8" x14ac:dyDescent="0.15">
      <c r="H146" s="5"/>
    </row>
    <row r="147" spans="8:8" x14ac:dyDescent="0.15">
      <c r="H147" s="5"/>
    </row>
    <row r="148" spans="8:8" x14ac:dyDescent="0.15">
      <c r="H148" s="5"/>
    </row>
    <row r="149" spans="8:8" x14ac:dyDescent="0.15">
      <c r="H149" s="5"/>
    </row>
    <row r="150" spans="8:8" x14ac:dyDescent="0.15">
      <c r="H150" s="5"/>
    </row>
    <row r="151" spans="8:8" x14ac:dyDescent="0.15">
      <c r="H151" s="5"/>
    </row>
    <row r="152" spans="8:8" x14ac:dyDescent="0.15">
      <c r="H152" s="5"/>
    </row>
    <row r="153" spans="8:8" x14ac:dyDescent="0.15">
      <c r="H153" s="5"/>
    </row>
    <row r="154" spans="8:8" x14ac:dyDescent="0.15">
      <c r="H154" s="5"/>
    </row>
    <row r="155" spans="8:8" x14ac:dyDescent="0.15">
      <c r="H155" s="5"/>
    </row>
    <row r="156" spans="8:8" x14ac:dyDescent="0.15">
      <c r="H156" s="5"/>
    </row>
    <row r="157" spans="8:8" x14ac:dyDescent="0.15">
      <c r="H157" s="5"/>
    </row>
    <row r="158" spans="8:8" x14ac:dyDescent="0.15">
      <c r="H158" s="5"/>
    </row>
    <row r="159" spans="8:8" x14ac:dyDescent="0.15">
      <c r="H159" s="5"/>
    </row>
    <row r="160" spans="8:8" x14ac:dyDescent="0.15">
      <c r="H160" s="5"/>
    </row>
    <row r="161" spans="8:8" x14ac:dyDescent="0.15">
      <c r="H161" s="5"/>
    </row>
    <row r="162" spans="8:8" x14ac:dyDescent="0.15">
      <c r="H162" s="5"/>
    </row>
    <row r="163" spans="8:8" x14ac:dyDescent="0.15">
      <c r="H163" s="5"/>
    </row>
    <row r="164" spans="8:8" x14ac:dyDescent="0.15">
      <c r="H164" s="5"/>
    </row>
    <row r="165" spans="8:8" x14ac:dyDescent="0.15">
      <c r="H165" s="5"/>
    </row>
    <row r="166" spans="8:8" x14ac:dyDescent="0.15">
      <c r="H166" s="5"/>
    </row>
    <row r="167" spans="8:8" x14ac:dyDescent="0.15">
      <c r="H167" s="5"/>
    </row>
    <row r="168" spans="8:8" x14ac:dyDescent="0.15">
      <c r="H168" s="5"/>
    </row>
    <row r="169" spans="8:8" x14ac:dyDescent="0.15">
      <c r="H169" s="5"/>
    </row>
    <row r="170" spans="8:8" x14ac:dyDescent="0.15">
      <c r="H170" s="5"/>
    </row>
    <row r="171" spans="8:8" x14ac:dyDescent="0.15">
      <c r="H171" s="5"/>
    </row>
    <row r="172" spans="8:8" x14ac:dyDescent="0.15">
      <c r="H172" s="5"/>
    </row>
    <row r="173" spans="8:8" x14ac:dyDescent="0.15">
      <c r="H173" s="5"/>
    </row>
    <row r="174" spans="8:8" x14ac:dyDescent="0.15">
      <c r="H174" s="5"/>
    </row>
    <row r="175" spans="8:8" x14ac:dyDescent="0.15">
      <c r="H175" s="5"/>
    </row>
    <row r="176" spans="8:8" x14ac:dyDescent="0.15">
      <c r="H176" s="5"/>
    </row>
    <row r="177" spans="8:8" x14ac:dyDescent="0.15">
      <c r="H177" s="5"/>
    </row>
    <row r="178" spans="8:8" x14ac:dyDescent="0.15">
      <c r="H178" s="5"/>
    </row>
    <row r="179" spans="8:8" x14ac:dyDescent="0.15">
      <c r="H179" s="5"/>
    </row>
    <row r="180" spans="8:8" x14ac:dyDescent="0.15">
      <c r="H180" s="5"/>
    </row>
    <row r="181" spans="8:8" x14ac:dyDescent="0.15">
      <c r="H181" s="5"/>
    </row>
    <row r="182" spans="8:8" x14ac:dyDescent="0.15">
      <c r="H182" s="5"/>
    </row>
    <row r="183" spans="8:8" x14ac:dyDescent="0.15">
      <c r="H183" s="5"/>
    </row>
    <row r="184" spans="8:8" x14ac:dyDescent="0.15">
      <c r="H184" s="5"/>
    </row>
    <row r="185" spans="8:8" x14ac:dyDescent="0.15">
      <c r="H185" s="5"/>
    </row>
    <row r="186" spans="8:8" x14ac:dyDescent="0.15">
      <c r="H186" s="5"/>
    </row>
    <row r="187" spans="8:8" x14ac:dyDescent="0.15">
      <c r="H187" s="5"/>
    </row>
    <row r="188" spans="8:8" x14ac:dyDescent="0.15">
      <c r="H188" s="5"/>
    </row>
    <row r="189" spans="8:8" x14ac:dyDescent="0.15">
      <c r="H189" s="5"/>
    </row>
    <row r="190" spans="8:8" x14ac:dyDescent="0.15">
      <c r="H190" s="5"/>
    </row>
    <row r="191" spans="8:8" x14ac:dyDescent="0.15">
      <c r="H191" s="5"/>
    </row>
    <row r="192" spans="8:8" x14ac:dyDescent="0.15">
      <c r="H192" s="5"/>
    </row>
    <row r="193" spans="8:8" x14ac:dyDescent="0.15">
      <c r="H193" s="5"/>
    </row>
    <row r="194" spans="8:8" x14ac:dyDescent="0.15">
      <c r="H194" s="5"/>
    </row>
    <row r="195" spans="8:8" x14ac:dyDescent="0.15">
      <c r="H195" s="5"/>
    </row>
    <row r="196" spans="8:8" x14ac:dyDescent="0.15">
      <c r="H196" s="5"/>
    </row>
  </sheetData>
  <dataConsolidate/>
  <phoneticPr fontId="2" type="noConversion"/>
  <dataValidations count="3">
    <dataValidation type="list" allowBlank="1" showInputMessage="1" showErrorMessage="1" sqref="D2" xr:uid="{00000000-0002-0000-0000-000000000000}">
      <formula1>"1,,2,3,4"</formula1>
    </dataValidation>
    <dataValidation type="decimal" allowBlank="1" showInputMessage="1" showErrorMessage="1" sqref="E2" xr:uid="{00000000-0002-0000-0000-000001000000}">
      <formula1>0.8</formula1>
      <formula2>1</formula2>
    </dataValidation>
    <dataValidation type="decimal" allowBlank="1" showInputMessage="1" showErrorMessage="1" sqref="F2:G2" xr:uid="{00000000-0002-0000-0000-000002000000}">
      <formula1>0.9</formula1>
      <formula2>1</formula2>
    </dataValidation>
  </dataValidation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8000000}">
          <x14:formula1>
            <xm:f>UPS!$A$2:$A$34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34"/>
  <sheetViews>
    <sheetView zoomScaleNormal="100" zoomScaleSheetLayoutView="100" workbookViewId="0">
      <selection activeCell="B4" sqref="B4"/>
    </sheetView>
  </sheetViews>
  <sheetFormatPr defaultRowHeight="14.25" x14ac:dyDescent="0.15"/>
  <cols>
    <col min="1" max="1" width="20.125" style="1" customWidth="1"/>
  </cols>
  <sheetData>
    <row r="1" spans="1:2" ht="15.75" customHeight="1" x14ac:dyDescent="0.25">
      <c r="A1" s="2" t="s">
        <v>0</v>
      </c>
    </row>
    <row r="2" spans="1:2" x14ac:dyDescent="0.15">
      <c r="A2" s="3">
        <v>3</v>
      </c>
      <c r="B2" s="4"/>
    </row>
    <row r="3" spans="1:2" ht="15.75" customHeight="1" x14ac:dyDescent="0.25">
      <c r="A3" s="2">
        <v>5</v>
      </c>
      <c r="B3" s="4"/>
    </row>
    <row r="4" spans="1:2" ht="15.75" customHeight="1" x14ac:dyDescent="0.25">
      <c r="A4" s="2">
        <v>6</v>
      </c>
      <c r="B4" s="4"/>
    </row>
    <row r="5" spans="1:2" ht="15.75" customHeight="1" x14ac:dyDescent="0.25">
      <c r="A5" s="2">
        <v>10</v>
      </c>
      <c r="B5" s="4"/>
    </row>
    <row r="6" spans="1:2" ht="15.75" customHeight="1" x14ac:dyDescent="0.25">
      <c r="A6" s="2">
        <v>15</v>
      </c>
      <c r="B6" s="4"/>
    </row>
    <row r="7" spans="1:2" ht="15.75" customHeight="1" x14ac:dyDescent="0.25">
      <c r="A7" s="2">
        <v>20</v>
      </c>
      <c r="B7" s="4"/>
    </row>
    <row r="8" spans="1:2" ht="15.75" customHeight="1" x14ac:dyDescent="0.25">
      <c r="A8" s="2">
        <v>25</v>
      </c>
      <c r="B8" s="4"/>
    </row>
    <row r="9" spans="1:2" x14ac:dyDescent="0.15">
      <c r="A9" s="3">
        <v>30</v>
      </c>
      <c r="B9" s="4"/>
    </row>
    <row r="10" spans="1:2" ht="15.75" customHeight="1" x14ac:dyDescent="0.25">
      <c r="A10" s="2">
        <v>40</v>
      </c>
      <c r="B10" s="4"/>
    </row>
    <row r="11" spans="1:2" x14ac:dyDescent="0.15">
      <c r="A11" s="3">
        <v>45</v>
      </c>
      <c r="B11" s="4"/>
    </row>
    <row r="12" spans="1:2" x14ac:dyDescent="0.15">
      <c r="A12" s="3">
        <v>50</v>
      </c>
      <c r="B12" s="4"/>
    </row>
    <row r="13" spans="1:2" ht="15.75" customHeight="1" x14ac:dyDescent="0.25">
      <c r="A13" s="2">
        <v>60</v>
      </c>
      <c r="B13" s="4"/>
    </row>
    <row r="14" spans="1:2" ht="15.75" customHeight="1" x14ac:dyDescent="0.25">
      <c r="A14" s="2">
        <v>75</v>
      </c>
      <c r="B14" s="4"/>
    </row>
    <row r="15" spans="1:2" ht="15.75" customHeight="1" x14ac:dyDescent="0.25">
      <c r="A15" s="2">
        <v>80</v>
      </c>
      <c r="B15" s="4"/>
    </row>
    <row r="16" spans="1:2" ht="15.75" customHeight="1" x14ac:dyDescent="0.25">
      <c r="A16" s="2">
        <v>90</v>
      </c>
      <c r="B16" s="4"/>
    </row>
    <row r="17" spans="1:2" ht="15.75" customHeight="1" x14ac:dyDescent="0.25">
      <c r="A17" s="2">
        <v>100</v>
      </c>
      <c r="B17" s="4"/>
    </row>
    <row r="18" spans="1:2" ht="15.75" customHeight="1" x14ac:dyDescent="0.25">
      <c r="A18" s="2">
        <v>120</v>
      </c>
      <c r="B18" s="4"/>
    </row>
    <row r="19" spans="1:2" ht="15.75" customHeight="1" x14ac:dyDescent="0.25">
      <c r="A19" s="2">
        <v>125</v>
      </c>
      <c r="B19" s="4"/>
    </row>
    <row r="20" spans="1:2" ht="15.75" customHeight="1" x14ac:dyDescent="0.25">
      <c r="A20" s="2">
        <v>150</v>
      </c>
      <c r="B20" s="4"/>
    </row>
    <row r="21" spans="1:2" ht="15.75" customHeight="1" x14ac:dyDescent="0.25">
      <c r="A21" s="2">
        <v>180</v>
      </c>
      <c r="B21" s="4"/>
    </row>
    <row r="22" spans="1:2" ht="15.75" customHeight="1" x14ac:dyDescent="0.25">
      <c r="A22" s="2">
        <v>200</v>
      </c>
      <c r="B22" s="4"/>
    </row>
    <row r="23" spans="1:2" ht="15.75" customHeight="1" x14ac:dyDescent="0.25">
      <c r="A23" s="2">
        <v>250</v>
      </c>
      <c r="B23" s="4"/>
    </row>
    <row r="24" spans="1:2" ht="15.75" customHeight="1" x14ac:dyDescent="0.25">
      <c r="A24" s="2">
        <v>300</v>
      </c>
      <c r="B24" s="4"/>
    </row>
    <row r="25" spans="1:2" ht="15.75" customHeight="1" x14ac:dyDescent="0.25">
      <c r="A25" s="2">
        <v>350</v>
      </c>
      <c r="B25" s="4"/>
    </row>
    <row r="26" spans="1:2" ht="15.75" customHeight="1" x14ac:dyDescent="0.25">
      <c r="A26" s="2">
        <v>400</v>
      </c>
      <c r="B26" s="4"/>
    </row>
    <row r="27" spans="1:2" ht="15.75" customHeight="1" x14ac:dyDescent="0.25">
      <c r="A27" s="2">
        <v>450</v>
      </c>
      <c r="B27" s="4"/>
    </row>
    <row r="28" spans="1:2" ht="15.75" customHeight="1" x14ac:dyDescent="0.25">
      <c r="A28" s="2">
        <v>500</v>
      </c>
      <c r="B28" s="4"/>
    </row>
    <row r="29" spans="1:2" x14ac:dyDescent="0.15">
      <c r="A29" s="3">
        <v>550</v>
      </c>
      <c r="B29" s="4"/>
    </row>
    <row r="30" spans="1:2" x14ac:dyDescent="0.15">
      <c r="A30" s="3">
        <v>600</v>
      </c>
      <c r="B30" s="4"/>
    </row>
    <row r="31" spans="1:2" x14ac:dyDescent="0.15">
      <c r="A31" s="3">
        <v>650</v>
      </c>
      <c r="B31" s="4"/>
    </row>
    <row r="32" spans="1:2" ht="15.75" customHeight="1" x14ac:dyDescent="0.25">
      <c r="A32" s="2">
        <v>700</v>
      </c>
      <c r="B32" s="4"/>
    </row>
    <row r="33" spans="1:2" ht="15.75" customHeight="1" x14ac:dyDescent="0.25">
      <c r="A33" s="2">
        <v>750</v>
      </c>
      <c r="B33" s="4"/>
    </row>
    <row r="34" spans="1:2" ht="15.75" customHeight="1" x14ac:dyDescent="0.25">
      <c r="A34" s="2">
        <v>800</v>
      </c>
      <c r="B34" s="4"/>
    </row>
  </sheetData>
  <phoneticPr fontId="2" type="noConversion"/>
  <pageMargins left="0.74782315201646699" right="0.74782315201646699" top="0.75198932895510218" bottom="0.75198932895510218" header="0.49993747801292604" footer="0.49993747801292604"/>
  <pageSetup paperSize="9" firstPageNumber="4294967295" orientation="portrait" horizontalDpi="4294967293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E691E2-B1C7-4753-A342-7680FE0C28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92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锂电池选型</vt:lpstr>
      <vt:lpstr>UPS</vt:lpstr>
    </vt:vector>
  </TitlesOfParts>
  <Company>Microsoft 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黄锡元</dc:creator>
  <cp:lastModifiedBy>川川 陈</cp:lastModifiedBy>
  <cp:lastPrinted>2023-02-03T01:22:53Z</cp:lastPrinted>
  <dcterms:created xsi:type="dcterms:W3CDTF">2005-07-03T07:06:49Z</dcterms:created>
  <dcterms:modified xsi:type="dcterms:W3CDTF">2026-03-09T09:36:44Z</dcterms:modified>
</cp:coreProperties>
</file>