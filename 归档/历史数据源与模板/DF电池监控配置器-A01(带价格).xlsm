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阿里云盘\挂载\03、艾特网能\4、模板\工具模板\"/>
    </mc:Choice>
  </mc:AlternateContent>
  <xr:revisionPtr revIDLastSave="0" documentId="13_ncr:1_{95BB004E-BDD2-4A90-9768-BB20DC9B40B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配置页" sheetId="2" r:id="rId1"/>
    <sheet name="数据页" sheetId="3" r:id="rId2"/>
  </sheets>
  <externalReferences>
    <externalReference r:id="rId3"/>
  </externalReferences>
  <definedNames>
    <definedName name="_xleta.VLOOKUP" hidden="1" xlm="1">#NAME?</definedName>
    <definedName name="Battery_12V">[1]电池节数选项!$A$2:INDEX([1]电池节数选项!$A:$A, MAX(IF([1]电池节数选项!$A:$A&lt;&gt;"", ROW([1]电池节数选项!$A:$A))) )</definedName>
    <definedName name="Battery_2V">[1]电池节数选项!$B$2:INDEX([1]电池节数选项!$B:$B, MAX(IF([1]电池节数选项!$B:$B&lt;&gt;"", ROW([1]电池节数选项!$B:$B))) )</definedName>
    <definedName name="UPS系列">[1]UPS!$A$2:$A$5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2" l="1"/>
  <c r="E12" i="2"/>
  <c r="E15" i="2"/>
  <c r="F12" i="2"/>
  <c r="F13" i="2" s="1"/>
  <c r="F7" i="2"/>
  <c r="D15" i="2"/>
  <c r="D18" i="2"/>
  <c r="D12" i="2"/>
  <c r="F18" i="2"/>
  <c r="G13" i="2"/>
  <c r="G15" i="2"/>
  <c r="G18" i="2"/>
  <c r="G12" i="2"/>
  <c r="C17" i="2" a="1"/>
  <c r="C17" i="2" s="1"/>
  <c r="E17" i="2" s="1"/>
  <c r="E18" i="2"/>
  <c r="D17" i="2" l="1"/>
  <c r="H13" i="2"/>
  <c r="H18" i="2"/>
  <c r="G17" i="2"/>
  <c r="C14" i="2"/>
  <c r="D14" i="2" s="1"/>
  <c r="E13" i="2"/>
  <c r="C6" i="2"/>
  <c r="G14" i="2" l="1"/>
  <c r="E14" i="2"/>
  <c r="H6" i="2"/>
  <c r="F15" i="2"/>
  <c r="F14" i="2"/>
  <c r="C16" i="2" l="1"/>
  <c r="H7" i="2"/>
  <c r="F17" i="2"/>
  <c r="H17" i="2" s="1"/>
  <c r="H14" i="2"/>
  <c r="F16" i="2"/>
  <c r="H15" i="2"/>
  <c r="H12" i="2"/>
  <c r="G16" i="2" l="1"/>
  <c r="H16" i="2" s="1"/>
  <c r="H19" i="2" s="1"/>
  <c r="D16" i="2"/>
  <c r="E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陈川川</author>
  </authors>
  <commentList>
    <comment ref="C3" authorId="0" shapeId="0" xr:uid="{B1079306-3F50-45C8-972C-9F49A38FE985}">
      <text>
        <r>
          <rPr>
            <b/>
            <sz val="9"/>
            <color indexed="81"/>
            <rFont val="宋体"/>
            <family val="3"/>
            <charset val="134"/>
          </rPr>
          <t>陈川川:</t>
        </r>
        <r>
          <rPr>
            <sz val="9"/>
            <color indexed="81"/>
            <rFont val="宋体"/>
            <family val="3"/>
            <charset val="134"/>
          </rPr>
          <t xml:space="preserve">
3~800K</t>
        </r>
      </text>
    </comment>
    <comment ref="H3" authorId="0" shapeId="0" xr:uid="{7797D624-5233-4E9E-98FF-FFB933AA5674}">
      <text>
        <r>
          <rPr>
            <b/>
            <sz val="9"/>
            <color indexed="81"/>
            <rFont val="宋体"/>
            <family val="3"/>
            <charset val="134"/>
          </rPr>
          <t>陈川川:</t>
        </r>
        <r>
          <rPr>
            <sz val="9"/>
            <color indexed="81"/>
            <rFont val="宋体"/>
            <family val="3"/>
            <charset val="134"/>
          </rPr>
          <t xml:space="preserve">
选配</t>
        </r>
      </text>
    </comment>
    <comment ref="C4" authorId="0" shapeId="0" xr:uid="{15F83270-CF4B-4BF1-B9BD-7153CAD16BBE}">
      <text>
        <r>
          <rPr>
            <b/>
            <sz val="9"/>
            <color indexed="81"/>
            <rFont val="宋体"/>
            <family val="3"/>
            <charset val="134"/>
          </rPr>
          <t>陈川川:</t>
        </r>
        <r>
          <rPr>
            <sz val="9"/>
            <color indexed="81"/>
            <rFont val="宋体"/>
            <family val="3"/>
            <charset val="134"/>
          </rPr>
          <t xml:space="preserve">
1~4组</t>
        </r>
      </text>
    </comment>
    <comment ref="H4" authorId="0" shapeId="0" xr:uid="{90881973-4D1F-4CEA-9182-A83D1FE1A7D6}">
      <text>
        <r>
          <rPr>
            <b/>
            <sz val="9"/>
            <color indexed="81"/>
            <rFont val="宋体"/>
            <family val="3"/>
            <charset val="134"/>
          </rPr>
          <t>陈川川:</t>
        </r>
        <r>
          <rPr>
            <sz val="9"/>
            <color indexed="81"/>
            <rFont val="宋体"/>
            <family val="3"/>
            <charset val="134"/>
          </rPr>
          <t xml:space="preserve">
选配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<sst xmlns="http://schemas.openxmlformats.org/spreadsheetml/2006/main" count="75" uniqueCount="74">
  <si>
    <t>每台UPS电池组数</t>
    <phoneticPr fontId="1" type="noConversion"/>
  </si>
  <si>
    <t>每组电池节数</t>
    <phoneticPr fontId="1" type="noConversion"/>
  </si>
  <si>
    <t>UPS台数</t>
    <phoneticPr fontId="1" type="noConversion"/>
  </si>
  <si>
    <t>电池总组数</t>
    <phoneticPr fontId="1" type="noConversion"/>
  </si>
  <si>
    <t>电池类型</t>
    <phoneticPr fontId="1" type="noConversion"/>
  </si>
  <si>
    <t>端子类型</t>
    <phoneticPr fontId="1" type="noConversion"/>
  </si>
  <si>
    <t>无</t>
  </si>
  <si>
    <t>编码</t>
    <phoneticPr fontId="1" type="noConversion"/>
  </si>
  <si>
    <t>描述</t>
    <phoneticPr fontId="1" type="noConversion"/>
  </si>
  <si>
    <t>数量</t>
    <phoneticPr fontId="1" type="noConversion"/>
  </si>
  <si>
    <t>单价</t>
    <phoneticPr fontId="1" type="noConversion"/>
  </si>
  <si>
    <t>总价</t>
    <phoneticPr fontId="1" type="noConversion"/>
  </si>
  <si>
    <t>合计</t>
    <phoneticPr fontId="1" type="noConversion"/>
  </si>
  <si>
    <t>电池监控配置器</t>
    <phoneticPr fontId="1" type="noConversion"/>
  </si>
  <si>
    <t>电池监控</t>
    <phoneticPr fontId="6" type="noConversion"/>
  </si>
  <si>
    <t>产品名称</t>
  </si>
  <si>
    <t>产品编码</t>
    <phoneticPr fontId="6" type="noConversion"/>
  </si>
  <si>
    <t>型号</t>
    <phoneticPr fontId="6" type="noConversion"/>
  </si>
  <si>
    <t>备注</t>
  </si>
  <si>
    <t>含税成本</t>
    <phoneticPr fontId="6" type="noConversion"/>
  </si>
  <si>
    <t>SBMS-PBMS6000</t>
  </si>
  <si>
    <t>SBMS-HMI-6000</t>
  </si>
  <si>
    <t>SBMS-PBMS-CM</t>
    <phoneticPr fontId="6" type="noConversion"/>
  </si>
  <si>
    <t>SBMS-CS100EK1T5</t>
  </si>
  <si>
    <t>SBMS-CS200EK2T5</t>
  </si>
  <si>
    <t>电池监控-霍尔传感器-测量范围：0~±200A，Ф40mm-iTeaQ</t>
  </si>
  <si>
    <t>SBMS-CS400EK2T5</t>
  </si>
  <si>
    <t>电池监控-霍尔传感器-测量范围：0~±400A，Ф40mm-iTeaQ</t>
  </si>
  <si>
    <t>SBMS-CS600EK2T5</t>
  </si>
  <si>
    <t>SBMS-CS800EK2T5</t>
  </si>
  <si>
    <t>电池监控-霍尔传感器-测量范围：0~±800A，Ф40mm-iTeaQ</t>
  </si>
  <si>
    <t>SBMS-CS1000EK2T5</t>
  </si>
  <si>
    <t>电池监控-霍尔传感器-测量范围：0~±1000A，Ф40mm-iTeaQ</t>
  </si>
  <si>
    <t>SBMS-PBAT51-12</t>
    <phoneticPr fontId="6" type="noConversion"/>
  </si>
  <si>
    <t>SBMS-PBAT51-02</t>
  </si>
  <si>
    <t>电池监控-2V单体测量模块-2V蓄电池SOC监测,用于蓄电池1.6V-2.6V电压范围,带均衡功能-标配监控模块通讯线（ RJ11，长度:40cm）-iTeaQ</t>
  </si>
  <si>
    <t>SBMS-PBAT-C1-0-M6-30</t>
  </si>
  <si>
    <t>电池监控-监控模块测试线-O型端， 孔径:6mm，长度:30cm-iTeaQ</t>
    <phoneticPr fontId="6" type="noConversion"/>
  </si>
  <si>
    <t>SBMS-PBAT-C1-0-M8-30</t>
  </si>
  <si>
    <t>电池监控-监控模块测试线-O型端， 孔径:8mm，长度:30cm-iTeaQ</t>
  </si>
  <si>
    <t>SBMS-PBAT-C1-0-M10-30</t>
  </si>
  <si>
    <t>电池监控-监控模块测试线-O型端， 孔径:10mm，长度:30cm-iTeaQ</t>
  </si>
  <si>
    <t>SBMS-PBMS-VM</t>
  </si>
  <si>
    <t xml:space="preserve">电池监控-蓄电池组监控主机-标准1U机蓄电池组监控装置.额定220VAC工作电源, 配置2个RS485串口 + 1个以太网端口, 支持Modbus-RTU,Modbus-TCP协议.最多支持接入6组电池组, 2路AI模拟量输入,3路DI开关量输入,4路DO继电器输出-不含显示屏-iTeaQ                                                                                                   </t>
    <phoneticPr fontId="1" type="noConversion"/>
  </si>
  <si>
    <t>监控主机</t>
    <phoneticPr fontId="1" type="noConversion"/>
  </si>
  <si>
    <t>电池监控-本地数据显示屏-7寸触摸屏HMI, 嵌入式屏,配24V电源模块-iTeaQ</t>
    <phoneticPr fontId="1" type="noConversion"/>
  </si>
  <si>
    <t>本地数据显示屏</t>
    <phoneticPr fontId="1" type="noConversion"/>
  </si>
  <si>
    <t>电池监控-12V单体测量模块-12V蓄电池SOC监测,用于蓄电池7.5V-15.6V电压范围,带均衡功能-标配监控模块通讯线（ RJ11，长度:40cm）-iTeaQ</t>
    <phoneticPr fontId="1" type="noConversion"/>
  </si>
  <si>
    <t>单体测量模块</t>
    <phoneticPr fontId="1" type="noConversion"/>
  </si>
  <si>
    <t>电池监控-蓄电池组电流监控模块-iTeaQ</t>
    <phoneticPr fontId="1" type="noConversion"/>
  </si>
  <si>
    <t>电流监控模块</t>
    <phoneticPr fontId="1" type="noConversion"/>
  </si>
  <si>
    <t>电池监控-霍尔传感器-测量范围：0~±600A，Ф40mm-iTeaQ</t>
    <phoneticPr fontId="1" type="noConversion"/>
  </si>
  <si>
    <t>霍尔传感器</t>
    <phoneticPr fontId="1" type="noConversion"/>
  </si>
  <si>
    <t>监控模块测试线</t>
    <phoneticPr fontId="1" type="noConversion"/>
  </si>
  <si>
    <t>电池监控-蓄电池组电压监控模块（1组蓄电池可选配1个）-iTeaQ</t>
    <phoneticPr fontId="1" type="noConversion"/>
  </si>
  <si>
    <t>组电压监控模块</t>
    <phoneticPr fontId="1" type="noConversion"/>
  </si>
  <si>
    <t>名称</t>
    <phoneticPr fontId="1" type="noConversion"/>
  </si>
  <si>
    <t>逆变器效率μ（0.9~1）</t>
    <phoneticPr fontId="1" type="noConversion"/>
  </si>
  <si>
    <t>蓄电池最大放电电流（A）</t>
    <phoneticPr fontId="1" type="noConversion"/>
  </si>
  <si>
    <t>分组放电电流（A）</t>
    <phoneticPr fontId="1" type="noConversion"/>
  </si>
  <si>
    <t>本地数据显示屏（选配）</t>
    <phoneticPr fontId="1" type="noConversion"/>
  </si>
  <si>
    <t>组电压监控模块（选配）</t>
    <phoneticPr fontId="1" type="noConversion"/>
  </si>
  <si>
    <t>放电截止电压(V)</t>
    <phoneticPr fontId="12" type="noConversion"/>
  </si>
  <si>
    <t>放电截止电压(V)</t>
    <phoneticPr fontId="1" type="noConversion"/>
  </si>
  <si>
    <t>UPS功率(kVA)</t>
    <phoneticPr fontId="1" type="noConversion"/>
  </si>
  <si>
    <t>UPS单机容量（kVA）</t>
  </si>
  <si>
    <t>12V</t>
  </si>
  <si>
    <t>负载功率因数cosφ（0.8~1）</t>
    <phoneticPr fontId="1" type="noConversion"/>
  </si>
  <si>
    <t>负载功率（kW）</t>
    <phoneticPr fontId="1" type="noConversion"/>
  </si>
  <si>
    <t>电池监控-霍尔传感器-测量范围：0~±100A，Φ20mm-iTeaQ</t>
    <phoneticPr fontId="1" type="noConversion"/>
  </si>
  <si>
    <t>如果按负载功率计算，请在上单元格填写数值</t>
    <phoneticPr fontId="1" type="noConversion"/>
  </si>
  <si>
    <t>型号</t>
    <phoneticPr fontId="1" type="noConversion"/>
  </si>
  <si>
    <t>有</t>
  </si>
  <si>
    <t>M8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</si>
</sst>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.00_);[Red]\(&quot;¥&quot;#,##0.00\)"/>
    <numFmt numFmtId="177" formatCode="\¥#,##0.00_);[Red]\(\¥#,##0.00\)"/>
    <numFmt numFmtId="178" formatCode="0_ "/>
  </numFmts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1"/>
      <color theme="9" tint="-0.499984740745262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2"/>
      <color rgb="FF000000"/>
      <name val="微软雅黑"/>
      <family val="2"/>
      <charset val="134"/>
    </font>
    <font>
      <b/>
      <sz val="10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0"/>
      <color rgb="FF000000"/>
      <name val="等线"/>
      <family val="3"/>
      <charset val="134"/>
    </font>
    <font>
      <b/>
      <sz val="10"/>
      <color theme="1"/>
      <name val="黑体"/>
      <family val="3"/>
      <charset val="134"/>
    </font>
    <font>
      <sz val="9"/>
      <name val="宋体"/>
      <family val="3"/>
      <charset val="134"/>
    </font>
    <font>
      <sz val="10"/>
      <color theme="1"/>
      <name val="黑体"/>
      <family val="3"/>
      <charset val="134"/>
    </font>
    <font>
      <sz val="12"/>
      <name val="Times New Roman"/>
      <family val="1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6" fillId="0" borderId="0" xfId="1"/>
    <xf numFmtId="0" fontId="8" fillId="2" borderId="4" xfId="1" applyFont="1" applyFill="1" applyBorder="1" applyAlignment="1">
      <alignment horizontal="center" vertical="center" wrapText="1"/>
    </xf>
    <xf numFmtId="49" fontId="8" fillId="2" borderId="4" xfId="1" applyNumberFormat="1" applyFont="1" applyFill="1" applyBorder="1" applyAlignment="1">
      <alignment horizontal="center" vertical="center" wrapText="1"/>
    </xf>
    <xf numFmtId="176" fontId="8" fillId="2" borderId="4" xfId="1" applyNumberFormat="1" applyFont="1" applyFill="1" applyBorder="1" applyAlignment="1">
      <alignment horizontal="center" vertical="center" wrapText="1"/>
    </xf>
    <xf numFmtId="176" fontId="10" fillId="0" borderId="2" xfId="1" applyNumberFormat="1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 wrapText="1"/>
    </xf>
    <xf numFmtId="177" fontId="10" fillId="0" borderId="2" xfId="1" applyNumberFormat="1" applyFont="1" applyBorder="1" applyAlignment="1">
      <alignment horizontal="center" vertical="center"/>
    </xf>
    <xf numFmtId="0" fontId="6" fillId="0" borderId="0" xfId="1" applyAlignment="1">
      <alignment horizontal="center"/>
    </xf>
    <xf numFmtId="0" fontId="6" fillId="0" borderId="0" xfId="1" applyAlignment="1">
      <alignment wrapText="1"/>
    </xf>
    <xf numFmtId="176" fontId="6" fillId="0" borderId="0" xfId="1" applyNumberFormat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wrapText="1"/>
      <protection hidden="1"/>
    </xf>
    <xf numFmtId="0" fontId="4" fillId="0" borderId="2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center" vertical="center" wrapText="1"/>
      <protection hidden="1"/>
    </xf>
    <xf numFmtId="0" fontId="11" fillId="0" borderId="2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178" fontId="2" fillId="3" borderId="2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 hidden="1"/>
    </xf>
    <xf numFmtId="176" fontId="2" fillId="0" borderId="2" xfId="0" applyNumberFormat="1" applyFont="1" applyBorder="1" applyAlignment="1" applyProtection="1">
      <alignment horizontal="center" vertical="center"/>
      <protection hidden="1"/>
    </xf>
    <xf numFmtId="0" fontId="2" fillId="0" borderId="8" xfId="0" applyFont="1" applyBorder="1" applyProtection="1"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18" fillId="0" borderId="2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4" borderId="12" xfId="0" applyFont="1" applyFill="1" applyBorder="1" applyAlignment="1" applyProtection="1">
      <alignment horizontal="center" vertical="center"/>
      <protection locked="0" hidden="1"/>
    </xf>
    <xf numFmtId="0" fontId="2" fillId="4" borderId="13" xfId="0" applyFont="1" applyFill="1" applyBorder="1" applyAlignment="1" applyProtection="1">
      <alignment horizontal="center" vertical="center"/>
      <protection locked="0" hidden="1"/>
    </xf>
    <xf numFmtId="0" fontId="2" fillId="3" borderId="12" xfId="0" applyFont="1" applyFill="1" applyBorder="1" applyAlignment="1" applyProtection="1">
      <alignment horizontal="center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7" fillId="0" borderId="3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</cellXfs>
  <cellStyles count="2">
    <cellStyle name="常规" xfId="0" builtinId="0"/>
    <cellStyle name="常规 2" xfId="1" xr:uid="{6920EE4F-D622-4315-995E-2333584E28AA}"/>
  </cellStyles>
  <dxfs count="16"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&#38463;&#37324;&#20113;&#30424;\&#25346;&#36733;\03&#12289;&#33406;&#29305;&#32593;&#33021;\4&#12289;&#27169;&#26495;\&#24037;&#20855;&#27169;&#26495;\DF&#30005;&#27744;&#30417;&#25511;&#20202;&#37197;&#32622;&#22120;-A00.xlsm" TargetMode="External"/><Relationship Id="rId1" Type="http://schemas.openxmlformats.org/officeDocument/2006/relationships/externalLinkPath" Target="DF&#30005;&#27744;&#30417;&#25511;&#20202;&#37197;&#32622;&#22120;-A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配置页"/>
      <sheetName val="数据页"/>
      <sheetName val="电池节数选项"/>
      <sheetName val="电池"/>
      <sheetName val="UPS"/>
      <sheetName val="目录价"/>
    </sheetNames>
    <sheetDataSet>
      <sheetData sheetId="0" refreshError="1"/>
      <sheetData sheetId="1"/>
      <sheetData sheetId="2">
        <row r="1">
          <cell r="A1" t="str">
            <v>12V电池</v>
          </cell>
          <cell r="B1" t="str">
            <v>2V电池</v>
          </cell>
        </row>
        <row r="2">
          <cell r="A2">
            <v>30</v>
          </cell>
          <cell r="B2">
            <v>180</v>
          </cell>
        </row>
        <row r="3">
          <cell r="A3">
            <v>31</v>
          </cell>
          <cell r="B3">
            <v>192</v>
          </cell>
        </row>
        <row r="4">
          <cell r="A4">
            <v>32</v>
          </cell>
          <cell r="B4">
            <v>204</v>
          </cell>
        </row>
        <row r="5">
          <cell r="A5">
            <v>33</v>
          </cell>
          <cell r="B5">
            <v>216</v>
          </cell>
        </row>
        <row r="6">
          <cell r="A6">
            <v>34</v>
          </cell>
          <cell r="B6">
            <v>228</v>
          </cell>
        </row>
        <row r="7">
          <cell r="A7">
            <v>36</v>
          </cell>
          <cell r="B7">
            <v>240</v>
          </cell>
        </row>
        <row r="8">
          <cell r="A8">
            <v>38</v>
          </cell>
          <cell r="B8">
            <v>252</v>
          </cell>
        </row>
        <row r="9">
          <cell r="A9">
            <v>40</v>
          </cell>
          <cell r="B9">
            <v>264</v>
          </cell>
        </row>
        <row r="10">
          <cell r="A10">
            <v>41</v>
          </cell>
          <cell r="B10">
            <v>180</v>
          </cell>
        </row>
        <row r="11">
          <cell r="A11">
            <v>42</v>
          </cell>
          <cell r="B11">
            <v>192</v>
          </cell>
        </row>
        <row r="12">
          <cell r="A12">
            <v>44</v>
          </cell>
          <cell r="B12">
            <v>204</v>
          </cell>
        </row>
        <row r="13">
          <cell r="A13">
            <v>46</v>
          </cell>
          <cell r="B13">
            <v>216</v>
          </cell>
        </row>
        <row r="14">
          <cell r="B14">
            <v>228</v>
          </cell>
        </row>
        <row r="15">
          <cell r="B15">
            <v>240</v>
          </cell>
        </row>
        <row r="16">
          <cell r="B16">
            <v>252</v>
          </cell>
        </row>
        <row r="17">
          <cell r="B17">
            <v>264</v>
          </cell>
        </row>
        <row r="18">
          <cell r="B18">
            <v>180</v>
          </cell>
        </row>
        <row r="19">
          <cell r="B19">
            <v>192</v>
          </cell>
        </row>
        <row r="20">
          <cell r="B20">
            <v>204</v>
          </cell>
        </row>
        <row r="21">
          <cell r="B21">
            <v>216</v>
          </cell>
        </row>
        <row r="22">
          <cell r="B22">
            <v>228</v>
          </cell>
        </row>
        <row r="23">
          <cell r="B23">
            <v>240</v>
          </cell>
        </row>
        <row r="24">
          <cell r="B24">
            <v>252</v>
          </cell>
        </row>
        <row r="25">
          <cell r="B25">
            <v>264</v>
          </cell>
        </row>
      </sheetData>
      <sheetData sheetId="3"/>
      <sheetData sheetId="4">
        <row r="2">
          <cell r="A2" t="str">
            <v>太行UR</v>
          </cell>
        </row>
        <row r="3">
          <cell r="A3" t="str">
            <v>昆仑UE</v>
          </cell>
        </row>
        <row r="4">
          <cell r="A4" t="str">
            <v>泰山UT</v>
          </cell>
        </row>
        <row r="5">
          <cell r="A5" t="str">
            <v>祁连UM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86933-CA66-4A0D-B3D3-F9BC32384DF8}">
  <sheetPr codeName="Sheet2">
    <tabColor theme="4" tint="0.79998168889431442"/>
  </sheetPr>
  <dimension ref="A1:J19"/>
  <sheetViews>
    <sheetView tabSelected="1" zoomScaleNormal="100" workbookViewId="0">
      <selection activeCell="E12" sqref="E12"/>
    </sheetView>
  </sheetViews>
  <sheetFormatPr defaultRowHeight="16.5" x14ac:dyDescent="0.3"/>
  <cols>
    <col min="1" max="1" width="22" style="2" customWidth="1"/>
    <col min="2" max="2" width="17.625" style="2" bestFit="1" customWidth="1"/>
    <col min="3" max="3" width="10.75" style="2" bestFit="1" customWidth="1"/>
    <col min="4" max="4" width="27.125" style="2" customWidth="1"/>
    <col min="5" max="5" width="53.5" style="20" customWidth="1"/>
    <col min="6" max="6" width="8.375" style="2" customWidth="1"/>
    <col min="7" max="7" width="24.625" style="2" customWidth="1"/>
    <col min="8" max="8" width="13.25" style="2" bestFit="1" customWidth="1"/>
    <col min="9" max="9" width="13" style="2" bestFit="1" customWidth="1"/>
    <col min="10" max="10" width="16.375" style="2" bestFit="1" customWidth="1"/>
    <col min="11" max="11" width="9" style="2" customWidth="1"/>
    <col min="12" max="13" width="3.875" style="2" customWidth="1"/>
    <col min="14" max="16384" width="9" style="2"/>
  </cols>
  <sheetData>
    <row r="1" spans="1:10" ht="21.75" thickBot="1" x14ac:dyDescent="0.45">
      <c r="C1" s="34" t="s">
        <v>13</v>
      </c>
      <c r="D1" s="34"/>
      <c r="E1" s="34"/>
      <c r="F1" s="34"/>
      <c r="G1" s="34"/>
    </row>
    <row r="2" spans="1:10" ht="17.25" thickTop="1" x14ac:dyDescent="0.3">
      <c r="A2" s="31"/>
      <c r="B2" s="30"/>
    </row>
    <row r="3" spans="1:10" ht="16.5" customHeight="1" x14ac:dyDescent="0.3">
      <c r="A3" s="3" t="s">
        <v>68</v>
      </c>
      <c r="B3" s="3" t="s">
        <v>64</v>
      </c>
      <c r="C3" s="38">
        <v>75</v>
      </c>
      <c r="D3" s="39"/>
      <c r="E3" s="21" t="s">
        <v>4</v>
      </c>
      <c r="F3" s="28" t="s">
        <v>66</v>
      </c>
      <c r="G3" s="3" t="s">
        <v>60</v>
      </c>
      <c r="H3" s="28" t="s">
        <v>72</v>
      </c>
      <c r="J3" s="23" t="s">
        <v>62</v>
      </c>
    </row>
    <row r="4" spans="1:10" ht="16.5" customHeight="1" x14ac:dyDescent="0.3">
      <c r="A4" s="32"/>
      <c r="B4" s="3" t="s">
        <v>0</v>
      </c>
      <c r="C4" s="38">
        <v>1</v>
      </c>
      <c r="D4" s="39"/>
      <c r="E4" s="21" t="s">
        <v>5</v>
      </c>
      <c r="F4" s="28" t="s">
        <v>73</v>
      </c>
      <c r="G4" s="3" t="s">
        <v>61</v>
      </c>
      <c r="H4" s="28" t="s">
        <v>6</v>
      </c>
      <c r="J4" s="24">
        <v>1.6</v>
      </c>
    </row>
    <row r="5" spans="1:10" x14ac:dyDescent="0.3">
      <c r="A5" s="35" t="s">
        <v>70</v>
      </c>
      <c r="B5" s="3" t="s">
        <v>2</v>
      </c>
      <c r="C5" s="38">
        <v>1</v>
      </c>
      <c r="D5" s="39"/>
      <c r="E5" s="21" t="s">
        <v>63</v>
      </c>
      <c r="F5" s="28">
        <v>1.7</v>
      </c>
      <c r="G5" s="3"/>
      <c r="H5" s="18"/>
      <c r="J5" s="24">
        <v>1.65</v>
      </c>
    </row>
    <row r="6" spans="1:10" x14ac:dyDescent="0.3">
      <c r="A6" s="36"/>
      <c r="B6" s="3" t="s">
        <v>3</v>
      </c>
      <c r="C6" s="40">
        <f>C4*C5</f>
        <v>1</v>
      </c>
      <c r="D6" s="41"/>
      <c r="E6" s="21" t="s">
        <v>67</v>
      </c>
      <c r="F6" s="28">
        <v>0.98</v>
      </c>
      <c r="G6" s="3" t="s">
        <v>58</v>
      </c>
      <c r="H6" s="25">
        <f>IF(A4="",IF(F3="12V",C3*1000*F6/(F7*C7*6*F5),C3*1000*F6/(F7*C7*F5)),IF(F3="12V",A4*1000/(F7*C7*6*F5),A4*1000*F6/(F7*C7*F5)))</f>
        <v>193.70651486401013</v>
      </c>
      <c r="J6" s="24">
        <v>1.67</v>
      </c>
    </row>
    <row r="7" spans="1:10" x14ac:dyDescent="0.3">
      <c r="A7" s="37"/>
      <c r="B7" s="3" t="s">
        <v>1</v>
      </c>
      <c r="C7" s="38">
        <v>40</v>
      </c>
      <c r="D7" s="39"/>
      <c r="E7" s="21" t="s">
        <v>57</v>
      </c>
      <c r="F7" s="18">
        <f>IF(C3&gt;100,0.95,0.93)</f>
        <v>0.93</v>
      </c>
      <c r="G7" s="3" t="s">
        <v>59</v>
      </c>
      <c r="H7" s="25">
        <f>IF(C4=1,H6,H6/(C4-1))</f>
        <v>193.70651486401013</v>
      </c>
      <c r="J7" s="24">
        <v>1.7</v>
      </c>
    </row>
    <row r="8" spans="1:10" x14ac:dyDescent="0.3">
      <c r="B8" s="1"/>
      <c r="C8" s="1"/>
      <c r="D8" s="1"/>
      <c r="E8" s="19"/>
      <c r="F8" s="1"/>
      <c r="G8" s="1"/>
      <c r="H8" s="1"/>
      <c r="J8" s="24">
        <v>1.75</v>
      </c>
    </row>
    <row r="9" spans="1:10" x14ac:dyDescent="0.3">
      <c r="B9" s="1"/>
      <c r="C9" s="1"/>
      <c r="D9" s="1"/>
      <c r="E9" s="19"/>
      <c r="F9" s="1"/>
      <c r="G9" s="1"/>
      <c r="H9" s="1"/>
      <c r="J9" s="24">
        <v>1.8</v>
      </c>
    </row>
    <row r="10" spans="1:10" x14ac:dyDescent="0.3">
      <c r="B10" s="1"/>
      <c r="C10" s="1"/>
      <c r="D10" s="1"/>
      <c r="E10" s="19"/>
      <c r="F10" s="1"/>
      <c r="G10" s="1"/>
      <c r="H10" s="1"/>
      <c r="J10" s="24">
        <v>1.85</v>
      </c>
    </row>
    <row r="11" spans="1:10" x14ac:dyDescent="0.3">
      <c r="B11" s="6" t="s">
        <v>56</v>
      </c>
      <c r="C11" s="6" t="s">
        <v>7</v>
      </c>
      <c r="D11" s="6" t="s">
        <v>71</v>
      </c>
      <c r="E11" s="22" t="s">
        <v>8</v>
      </c>
      <c r="F11" s="6" t="s">
        <v>9</v>
      </c>
      <c r="G11" s="6" t="s">
        <v>10</v>
      </c>
      <c r="H11" s="6" t="s">
        <v>11</v>
      </c>
    </row>
    <row r="12" spans="1:10" ht="82.5" x14ac:dyDescent="0.3">
      <c r="B12" s="3" t="s">
        <v>44</v>
      </c>
      <c r="C12" s="4">
        <v>88091156</v>
      </c>
      <c r="D12" s="4" t="str">
        <f>VLOOKUP(C12,数据页!B$2:E$19,2,FALSE)</f>
        <v>SBMS-PBMS6000</v>
      </c>
      <c r="E12" s="5" t="str">
        <f>VLOOKUP(C12,数据页!B$2:E$19,3,FALSE)</f>
        <v xml:space="preserve">电池监控-蓄电池组监控主机-标准1U机蓄电池组监控装置.额定220VAC工作电源, 配置2个RS485串口 + 1个以太网端口, 支持Modbus-RTU,Modbus-TCP协议.最多支持接入6组电池组, 2路AI模拟量输入,3路DI开关量输入,4路DO继电器输出-不含显示屏-iTeaQ                                                                                                   </v>
      </c>
      <c r="F12" s="4">
        <f>ROUNDUP(C6/6,0)</f>
        <v>1</v>
      </c>
      <c r="G12" s="29">
        <f>VLOOKUP(C12,数据页!B$2:E$19,4,FALSE)</f>
        <v>898.69999999999993</v>
      </c>
      <c r="H12" s="29">
        <f>F12*G12</f>
        <v>898.69999999999993</v>
      </c>
    </row>
    <row r="13" spans="1:10" ht="33" x14ac:dyDescent="0.3">
      <c r="B13" s="3" t="s">
        <v>46</v>
      </c>
      <c r="C13" s="4">
        <v>88091157</v>
      </c>
      <c r="D13" s="4" t="str">
        <f>VLOOKUP(C13,数据页!B$2:E$19,2,FALSE)</f>
        <v>SBMS-HMI-6000</v>
      </c>
      <c r="E13" s="5" t="str">
        <f>VLOOKUP(C13,数据页!B$2:E$19,3,FALSE)</f>
        <v>电池监控-本地数据显示屏-7寸触摸屏HMI, 嵌入式屏,配24V电源模块-iTeaQ</v>
      </c>
      <c r="F13" s="4">
        <f>IF(H3="有",F12,0)</f>
        <v>1</v>
      </c>
      <c r="G13" s="29">
        <f>VLOOKUP(C13,数据页!B$2:E$19,4,FALSE)</f>
        <v>710.6</v>
      </c>
      <c r="H13" s="29">
        <f t="shared" ref="H13:H18" si="0">F13*G13</f>
        <v>710.6</v>
      </c>
    </row>
    <row r="14" spans="1:10" ht="49.5" x14ac:dyDescent="0.3">
      <c r="B14" s="3" t="s">
        <v>48</v>
      </c>
      <c r="C14" s="4">
        <f>IF(F3="12V",88091145,IF(F3="2V", 88091146, ""))</f>
        <v>88091145</v>
      </c>
      <c r="D14" s="4" t="str">
        <f>VLOOKUP(C14,数据页!B$2:E$19,2,FALSE)</f>
        <v>SBMS-PBAT51-12</v>
      </c>
      <c r="E14" s="5" t="str">
        <f>VLOOKUP(C14,数据页!B$2:E$19,3,FALSE)</f>
        <v>电池监控-12V单体测量模块-12V蓄电池SOC监测,用于蓄电池7.5V-15.6V电压范围,带均衡功能-标配监控模块通讯线（ RJ11，长度:40cm）-iTeaQ</v>
      </c>
      <c r="F14" s="4">
        <f>C7*C6</f>
        <v>40</v>
      </c>
      <c r="G14" s="29">
        <f>VLOOKUP(C14,数据页!B$2:E$19,4,FALSE)</f>
        <v>32.395000000000003</v>
      </c>
      <c r="H14" s="29">
        <f t="shared" si="0"/>
        <v>1295.8000000000002</v>
      </c>
    </row>
    <row r="15" spans="1:10" ht="50.25" customHeight="1" x14ac:dyDescent="0.3">
      <c r="B15" s="3" t="s">
        <v>50</v>
      </c>
      <c r="C15" s="4">
        <v>88091138</v>
      </c>
      <c r="D15" s="4" t="str">
        <f>VLOOKUP(C15,数据页!B$2:E$19,2,FALSE)</f>
        <v>SBMS-PBMS-CM</v>
      </c>
      <c r="E15" s="5" t="str">
        <f>VLOOKUP(C15,数据页!B$2:E$19,3,FALSE)</f>
        <v>电池监控-蓄电池组电流监控模块-iTeaQ</v>
      </c>
      <c r="F15" s="4">
        <f>C6</f>
        <v>1</v>
      </c>
      <c r="G15" s="29">
        <f>VLOOKUP(C15,数据页!B$2:E$19,4,FALSE)</f>
        <v>94.050000000000011</v>
      </c>
      <c r="H15" s="29">
        <f t="shared" si="0"/>
        <v>94.050000000000011</v>
      </c>
    </row>
    <row r="16" spans="1:10" ht="60" customHeight="1" x14ac:dyDescent="0.3">
      <c r="B16" s="3" t="s">
        <v>52</v>
      </c>
      <c r="C16" s="4">
        <f>IF(AND(H6&gt;0, H6&lt;=100), 88091139,
 IF(AND(H6&gt;100, H6&lt;=200), 88091140,
 IF(AND(H6&gt;200, H6&lt;=400), 88091141,
 IF(AND(H6&gt;400, H6&lt;=600), 88091142,
 IF(AND(H6&gt;600, H6&lt;=800), 88091143,
 IF(AND(H6&gt;800, H6&lt;=1000), 88091144, "超出范围"))))))</f>
        <v>88091140</v>
      </c>
      <c r="D16" s="4" t="str">
        <f>VLOOKUP(C16,数据页!B$2:E$19,2,FALSE)</f>
        <v>SBMS-CS200EK2T5</v>
      </c>
      <c r="E16" s="5" t="str">
        <f>VLOOKUP(C16,数据页!B$2:E$19,3,FALSE)</f>
        <v>电池监控-霍尔传感器-测量范围：0~±200A，Ф40mm-iTeaQ</v>
      </c>
      <c r="F16" s="4">
        <f>F15</f>
        <v>1</v>
      </c>
      <c r="G16" s="29">
        <f>VLOOKUP(C16,数据页!B$2:E$19,4,FALSE)</f>
        <v>94.050000000000011</v>
      </c>
      <c r="H16" s="29">
        <f t="shared" si="0"/>
        <v>94.050000000000011</v>
      </c>
    </row>
    <row r="17" spans="2:8" ht="33" x14ac:dyDescent="0.3">
      <c r="B17" s="3" t="s">
        <v>53</v>
      </c>
      <c r="C17" s="4" cm="1">
        <f t="array" ref="C17">_xlfn.IFS(F4="M6",88091147,F4="M8",88091148,F4="M10",88091149)</f>
        <v>88091148</v>
      </c>
      <c r="D17" s="4" t="str">
        <f>VLOOKUP(C17,数据页!B$2:E$19,2,FALSE)</f>
        <v>SBMS-PBAT-C1-0-M8-30</v>
      </c>
      <c r="E17" s="5" t="str">
        <f>VLOOKUP(C17,数据页!B$2:E$19,3,FALSE)</f>
        <v>电池监控-监控模块测试线-O型端， 孔径:8mm，长度:30cm-iTeaQ</v>
      </c>
      <c r="F17" s="4">
        <f>F14</f>
        <v>40</v>
      </c>
      <c r="G17" s="29">
        <f>VLOOKUP(C17,数据页!B$2:E$19,4,FALSE)</f>
        <v>6.2700000000000005</v>
      </c>
      <c r="H17" s="29">
        <f t="shared" si="0"/>
        <v>250.8</v>
      </c>
    </row>
    <row r="18" spans="2:8" ht="33" x14ac:dyDescent="0.3">
      <c r="B18" s="3" t="s">
        <v>55</v>
      </c>
      <c r="C18" s="4">
        <v>88091150</v>
      </c>
      <c r="D18" s="4" t="str">
        <f>VLOOKUP(C18,数据页!B$2:E$19,2,FALSE)</f>
        <v>SBMS-PBMS-VM</v>
      </c>
      <c r="E18" s="5" t="str">
        <f>VLOOKUP(C18,数据页!B$2:E$19,3,FALSE)</f>
        <v>电池监控-蓄电池组电压监控模块（1组蓄电池可选配1个）-iTeaQ</v>
      </c>
      <c r="F18" s="4">
        <f>IF(H4="有",C6,0)</f>
        <v>0</v>
      </c>
      <c r="G18" s="29">
        <f>VLOOKUP(C18,数据页!B$2:E$19,4,FALSE)</f>
        <v>102.41000000000001</v>
      </c>
      <c r="H18" s="29">
        <f t="shared" si="0"/>
        <v>0</v>
      </c>
    </row>
    <row r="19" spans="2:8" x14ac:dyDescent="0.3">
      <c r="B19" s="1"/>
      <c r="C19" s="1"/>
      <c r="D19" s="1"/>
      <c r="E19" s="19"/>
      <c r="F19" s="1"/>
      <c r="G19" s="1" t="s">
        <v>12</v>
      </c>
      <c r="H19" s="29">
        <f>SUM(H12:H18)</f>
        <v>3344.0000000000009</v>
      </c>
    </row>
  </sheetData>
  <mergeCells count="7">
    <mergeCell ref="C1:G1"/>
    <mergeCell ref="A5:A7"/>
    <mergeCell ref="C3:D3"/>
    <mergeCell ref="C4:D4"/>
    <mergeCell ref="C5:D5"/>
    <mergeCell ref="C6:D6"/>
    <mergeCell ref="C7:D7"/>
  </mergeCells>
  <phoneticPr fontId="1" type="noConversion"/>
  <conditionalFormatting sqref="C4">
    <cfRule type="expression" dxfId="15" priority="3">
      <formula>AND(XFD7="12V",OR(C4&lt;1,C4&gt;4))</formula>
    </cfRule>
    <cfRule type="expression" dxfId="14" priority="4">
      <formula>AND(XFD7="2V",OR(C4&lt;1,C4&gt;3))</formula>
    </cfRule>
  </conditionalFormatting>
  <conditionalFormatting sqref="C7">
    <cfRule type="expression" dxfId="13" priority="1">
      <formula>AND(XFD9="2V",OR(C7&lt;180,C7&gt;264))</formula>
    </cfRule>
    <cfRule type="expression" dxfId="12" priority="2">
      <formula>AND(XFD9="12V",OR(C7&lt;30,C7&gt;46))</formula>
    </cfRule>
  </conditionalFormatting>
  <conditionalFormatting sqref="F5">
    <cfRule type="expression" dxfId="11" priority="7">
      <formula>AND(A7="2V",OR(F5&lt;180,F5&gt;264))</formula>
    </cfRule>
    <cfRule type="expression" dxfId="10" priority="8">
      <formula>AND(A7="12V",OR(F5&lt;30,F5&gt;46))</formula>
    </cfRule>
  </conditionalFormatting>
  <dataValidations count="7">
    <dataValidation type="list" allowBlank="1" showInputMessage="1" showErrorMessage="1" sqref="F5" xr:uid="{8A4AAEDA-FDD0-4018-BDFD-18056209B6E3}">
      <formula1>$J$4:$J$10</formula1>
    </dataValidation>
    <dataValidation type="list" allowBlank="1" showInputMessage="1" showErrorMessage="1" sqref="H3:H5" xr:uid="{B54FD688-8754-4E80-A82C-FA8B9574AFB9}">
      <formula1>"有,无"</formula1>
    </dataValidation>
    <dataValidation type="list" allowBlank="1" showInputMessage="1" showErrorMessage="1" sqref="F3" xr:uid="{6FDE8134-E73A-4647-AA80-6B796653C5F0}">
      <formula1>"12V,2V"</formula1>
    </dataValidation>
    <dataValidation type="list" allowBlank="1" showInputMessage="1" showErrorMessage="1" sqref="F4" xr:uid="{B03F70F4-D845-48E1-B8CE-78C631C36851}">
      <formula1>"M6,M8,M10"</formula1>
    </dataValidation>
    <dataValidation type="decimal" allowBlank="1" showInputMessage="1" showErrorMessage="1" sqref="F6" xr:uid="{38408D2F-A1AD-441F-AFBB-EEAB4FE57D3F}">
      <formula1>0.8</formula1>
      <formula2>1</formula2>
    </dataValidation>
    <dataValidation type="whole" allowBlank="1" showInputMessage="1" showErrorMessage="1" sqref="C4" xr:uid="{998A32EF-371E-4A2B-9D57-1D395763B36E}">
      <formula1>1</formula1>
      <formula2>4</formula2>
    </dataValidation>
    <dataValidation type="whole" allowBlank="1" showInputMessage="1" showErrorMessage="1" sqref="C7" xr:uid="{FFADB83C-CE6C-4729-B2EC-9AF7DBFA5C5B}">
      <formula1>32</formula1>
      <formula2>312</formula2>
    </dataValidation>
  </dataValidations>
  <pageMargins left="0.7" right="0.7" top="0.75" bottom="0.75" header="0.3" footer="0.3"/>
  <pageSetup paperSize="9" orientation="portrait" r:id="rId1"/>
  <ignoredErrors>
    <ignoredError sqref="C6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D5E3FF-9AC9-4DB6-A8DC-94AC68C9E659}">
          <x14:formula1>
            <xm:f>数据页!$A$24:$A$55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6C4B9-33F8-43FB-9073-D23D68F12125}">
  <sheetPr codeName="Sheet3"/>
  <dimension ref="A1:E55"/>
  <sheetViews>
    <sheetView topLeftCell="A13" zoomScaleNormal="100" workbookViewId="0">
      <selection activeCell="C29" sqref="C29"/>
    </sheetView>
  </sheetViews>
  <sheetFormatPr defaultColWidth="9" defaultRowHeight="13.5" x14ac:dyDescent="0.15"/>
  <cols>
    <col min="1" max="1" width="22" style="7" bestFit="1" customWidth="1"/>
    <col min="2" max="2" width="14" style="7" customWidth="1"/>
    <col min="3" max="3" width="22.375" style="14" bestFit="1" customWidth="1"/>
    <col min="4" max="4" width="107.625" style="15" customWidth="1"/>
    <col min="5" max="5" width="17.75" style="16" customWidth="1"/>
    <col min="6" max="16384" width="9" style="7"/>
  </cols>
  <sheetData>
    <row r="1" spans="1:5" ht="17.25" customHeight="1" thickBot="1" x14ac:dyDescent="0.2">
      <c r="A1" s="42" t="s">
        <v>14</v>
      </c>
      <c r="B1" s="42"/>
      <c r="C1" s="42"/>
      <c r="D1" s="42"/>
      <c r="E1" s="42"/>
    </row>
    <row r="2" spans="1:5" x14ac:dyDescent="0.15">
      <c r="A2" s="8" t="s">
        <v>15</v>
      </c>
      <c r="B2" s="8" t="s">
        <v>16</v>
      </c>
      <c r="C2" s="9" t="s">
        <v>17</v>
      </c>
      <c r="D2" s="8" t="s">
        <v>18</v>
      </c>
      <c r="E2" s="10" t="s">
        <v>19</v>
      </c>
    </row>
    <row r="3" spans="1:5" ht="45.75" customHeight="1" x14ac:dyDescent="0.15">
      <c r="A3" s="43" t="s">
        <v>14</v>
      </c>
      <c r="B3" s="17">
        <v>88091156</v>
      </c>
      <c r="C3" s="11" t="s">
        <v>20</v>
      </c>
      <c r="D3" s="12" t="s">
        <v>43</v>
      </c>
      <c r="E3" s="13">
        <v>898.69999999999993</v>
      </c>
    </row>
    <row r="4" spans="1:5" x14ac:dyDescent="0.15">
      <c r="A4" s="44"/>
      <c r="B4" s="17">
        <v>88091157</v>
      </c>
      <c r="C4" s="11" t="s">
        <v>21</v>
      </c>
      <c r="D4" s="11" t="s">
        <v>45</v>
      </c>
      <c r="E4" s="13">
        <v>710.6</v>
      </c>
    </row>
    <row r="5" spans="1:5" ht="13.5" customHeight="1" x14ac:dyDescent="0.15">
      <c r="A5" s="44"/>
      <c r="B5" s="17">
        <v>88091138</v>
      </c>
      <c r="C5" s="11" t="s">
        <v>22</v>
      </c>
      <c r="D5" s="12" t="s">
        <v>49</v>
      </c>
      <c r="E5" s="13">
        <v>94.050000000000011</v>
      </c>
    </row>
    <row r="6" spans="1:5" ht="13.5" customHeight="1" x14ac:dyDescent="0.15">
      <c r="A6" s="44"/>
      <c r="B6" s="17">
        <v>88091139</v>
      </c>
      <c r="C6" s="11" t="s">
        <v>23</v>
      </c>
      <c r="D6" s="12" t="s">
        <v>69</v>
      </c>
      <c r="E6" s="13">
        <v>88.825000000000003</v>
      </c>
    </row>
    <row r="7" spans="1:5" ht="13.5" customHeight="1" x14ac:dyDescent="0.15">
      <c r="A7" s="44"/>
      <c r="B7" s="17">
        <v>88091140</v>
      </c>
      <c r="C7" s="11" t="s">
        <v>24</v>
      </c>
      <c r="D7" s="12" t="s">
        <v>25</v>
      </c>
      <c r="E7" s="13">
        <v>94.050000000000011</v>
      </c>
    </row>
    <row r="8" spans="1:5" ht="13.5" customHeight="1" x14ac:dyDescent="0.15">
      <c r="A8" s="44"/>
      <c r="B8" s="17">
        <v>88091141</v>
      </c>
      <c r="C8" s="11" t="s">
        <v>26</v>
      </c>
      <c r="D8" s="12" t="s">
        <v>27</v>
      </c>
      <c r="E8" s="13">
        <v>94.050000000000011</v>
      </c>
    </row>
    <row r="9" spans="1:5" ht="13.5" customHeight="1" x14ac:dyDescent="0.15">
      <c r="A9" s="44"/>
      <c r="B9" s="17">
        <v>88091142</v>
      </c>
      <c r="C9" s="11" t="s">
        <v>28</v>
      </c>
      <c r="D9" s="12" t="s">
        <v>51</v>
      </c>
      <c r="E9" s="13">
        <v>114.95</v>
      </c>
    </row>
    <row r="10" spans="1:5" ht="13.5" customHeight="1" x14ac:dyDescent="0.15">
      <c r="A10" s="44"/>
      <c r="B10" s="17">
        <v>88091143</v>
      </c>
      <c r="C10" s="11" t="s">
        <v>29</v>
      </c>
      <c r="D10" s="12" t="s">
        <v>30</v>
      </c>
      <c r="E10" s="13">
        <v>114.95</v>
      </c>
    </row>
    <row r="11" spans="1:5" ht="13.5" customHeight="1" x14ac:dyDescent="0.15">
      <c r="A11" s="44"/>
      <c r="B11" s="17">
        <v>88091144</v>
      </c>
      <c r="C11" s="11" t="s">
        <v>31</v>
      </c>
      <c r="D11" s="12" t="s">
        <v>32</v>
      </c>
      <c r="E11" s="13">
        <v>114.95</v>
      </c>
    </row>
    <row r="12" spans="1:5" ht="13.5" customHeight="1" x14ac:dyDescent="0.15">
      <c r="A12" s="44"/>
      <c r="B12" s="17">
        <v>88091145</v>
      </c>
      <c r="C12" s="11" t="s">
        <v>33</v>
      </c>
      <c r="D12" s="12" t="s">
        <v>47</v>
      </c>
      <c r="E12" s="13">
        <v>32.395000000000003</v>
      </c>
    </row>
    <row r="13" spans="1:5" ht="13.5" customHeight="1" x14ac:dyDescent="0.15">
      <c r="A13" s="44"/>
      <c r="B13" s="17">
        <v>88091146</v>
      </c>
      <c r="C13" s="11" t="s">
        <v>34</v>
      </c>
      <c r="D13" s="12" t="s">
        <v>35</v>
      </c>
      <c r="E13" s="13">
        <v>32.395000000000003</v>
      </c>
    </row>
    <row r="14" spans="1:5" ht="13.5" customHeight="1" x14ac:dyDescent="0.15">
      <c r="A14" s="44"/>
      <c r="B14" s="17">
        <v>88091147</v>
      </c>
      <c r="C14" s="11" t="s">
        <v>36</v>
      </c>
      <c r="D14" s="12" t="s">
        <v>37</v>
      </c>
      <c r="E14" s="13">
        <v>6.2700000000000005</v>
      </c>
    </row>
    <row r="15" spans="1:5" ht="13.5" customHeight="1" x14ac:dyDescent="0.15">
      <c r="A15" s="44"/>
      <c r="B15" s="17">
        <v>88091148</v>
      </c>
      <c r="C15" s="11" t="s">
        <v>38</v>
      </c>
      <c r="D15" s="12" t="s">
        <v>39</v>
      </c>
      <c r="E15" s="13">
        <v>6.2700000000000005</v>
      </c>
    </row>
    <row r="16" spans="1:5" ht="13.5" customHeight="1" x14ac:dyDescent="0.15">
      <c r="A16" s="44"/>
      <c r="B16" s="17">
        <v>88091149</v>
      </c>
      <c r="C16" s="11" t="s">
        <v>40</v>
      </c>
      <c r="D16" s="12" t="s">
        <v>41</v>
      </c>
      <c r="E16" s="13">
        <v>8.36</v>
      </c>
    </row>
    <row r="17" spans="1:5" ht="13.5" customHeight="1" x14ac:dyDescent="0.15">
      <c r="A17" s="45"/>
      <c r="B17" s="17">
        <v>88091150</v>
      </c>
      <c r="C17" s="11" t="s">
        <v>42</v>
      </c>
      <c r="D17" s="12" t="s">
        <v>54</v>
      </c>
      <c r="E17" s="13">
        <v>102.41000000000001</v>
      </c>
    </row>
    <row r="23" spans="1:5" ht="15.75" x14ac:dyDescent="0.25">
      <c r="A23" s="33" t="s">
        <v>65</v>
      </c>
    </row>
    <row r="24" spans="1:5" ht="14.25" x14ac:dyDescent="0.15">
      <c r="A24" s="27">
        <v>3</v>
      </c>
    </row>
    <row r="25" spans="1:5" ht="15.75" x14ac:dyDescent="0.25">
      <c r="A25" s="26">
        <v>6</v>
      </c>
    </row>
    <row r="26" spans="1:5" ht="15.75" x14ac:dyDescent="0.25">
      <c r="A26" s="26">
        <v>10</v>
      </c>
    </row>
    <row r="27" spans="1:5" ht="15.75" x14ac:dyDescent="0.25">
      <c r="A27" s="26">
        <v>15</v>
      </c>
    </row>
    <row r="28" spans="1:5" ht="15.75" x14ac:dyDescent="0.25">
      <c r="A28" s="26">
        <v>20</v>
      </c>
    </row>
    <row r="29" spans="1:5" ht="15.75" x14ac:dyDescent="0.25">
      <c r="A29" s="26">
        <v>25</v>
      </c>
    </row>
    <row r="30" spans="1:5" ht="14.25" x14ac:dyDescent="0.15">
      <c r="A30" s="27">
        <v>30</v>
      </c>
    </row>
    <row r="31" spans="1:5" ht="15.75" x14ac:dyDescent="0.25">
      <c r="A31" s="26">
        <v>40</v>
      </c>
    </row>
    <row r="32" spans="1:5" ht="14.25" x14ac:dyDescent="0.15">
      <c r="A32" s="27">
        <v>45</v>
      </c>
    </row>
    <row r="33" spans="1:1" ht="14.25" x14ac:dyDescent="0.15">
      <c r="A33" s="27">
        <v>50</v>
      </c>
    </row>
    <row r="34" spans="1:1" ht="15.75" x14ac:dyDescent="0.25">
      <c r="A34" s="26">
        <v>60</v>
      </c>
    </row>
    <row r="35" spans="1:1" ht="15.75" x14ac:dyDescent="0.25">
      <c r="A35" s="26">
        <v>75</v>
      </c>
    </row>
    <row r="36" spans="1:1" ht="15.75" x14ac:dyDescent="0.25">
      <c r="A36" s="26">
        <v>80</v>
      </c>
    </row>
    <row r="37" spans="1:1" ht="15.75" x14ac:dyDescent="0.25">
      <c r="A37" s="26">
        <v>90</v>
      </c>
    </row>
    <row r="38" spans="1:1" ht="15.75" x14ac:dyDescent="0.25">
      <c r="A38" s="26">
        <v>100</v>
      </c>
    </row>
    <row r="39" spans="1:1" ht="15.75" x14ac:dyDescent="0.25">
      <c r="A39" s="26">
        <v>120</v>
      </c>
    </row>
    <row r="40" spans="1:1" ht="15.75" x14ac:dyDescent="0.25">
      <c r="A40" s="26">
        <v>125</v>
      </c>
    </row>
    <row r="41" spans="1:1" ht="15.75" x14ac:dyDescent="0.25">
      <c r="A41" s="26">
        <v>150</v>
      </c>
    </row>
    <row r="42" spans="1:1" ht="15.75" x14ac:dyDescent="0.25">
      <c r="A42" s="26">
        <v>180</v>
      </c>
    </row>
    <row r="43" spans="1:1" ht="15.75" x14ac:dyDescent="0.25">
      <c r="A43" s="26">
        <v>200</v>
      </c>
    </row>
    <row r="44" spans="1:1" ht="15.75" x14ac:dyDescent="0.25">
      <c r="A44" s="26">
        <v>250</v>
      </c>
    </row>
    <row r="45" spans="1:1" ht="15.75" x14ac:dyDescent="0.25">
      <c r="A45" s="26">
        <v>300</v>
      </c>
    </row>
    <row r="46" spans="1:1" ht="15.75" x14ac:dyDescent="0.25">
      <c r="A46" s="26">
        <v>350</v>
      </c>
    </row>
    <row r="47" spans="1:1" ht="15.75" x14ac:dyDescent="0.25">
      <c r="A47" s="26">
        <v>400</v>
      </c>
    </row>
    <row r="48" spans="1:1" ht="15.75" x14ac:dyDescent="0.25">
      <c r="A48" s="26">
        <v>450</v>
      </c>
    </row>
    <row r="49" spans="1:1" ht="15.75" x14ac:dyDescent="0.25">
      <c r="A49" s="26">
        <v>500</v>
      </c>
    </row>
    <row r="50" spans="1:1" ht="14.25" x14ac:dyDescent="0.15">
      <c r="A50" s="27">
        <v>550</v>
      </c>
    </row>
    <row r="51" spans="1:1" ht="14.25" x14ac:dyDescent="0.15">
      <c r="A51" s="27">
        <v>600</v>
      </c>
    </row>
    <row r="52" spans="1:1" ht="14.25" x14ac:dyDescent="0.15">
      <c r="A52" s="27">
        <v>650</v>
      </c>
    </row>
    <row r="53" spans="1:1" ht="15.75" x14ac:dyDescent="0.25">
      <c r="A53" s="26">
        <v>700</v>
      </c>
    </row>
    <row r="54" spans="1:1" ht="15.75" x14ac:dyDescent="0.25">
      <c r="A54" s="26">
        <v>750</v>
      </c>
    </row>
    <row r="55" spans="1:1" ht="15.75" x14ac:dyDescent="0.25">
      <c r="A55" s="26">
        <v>800</v>
      </c>
    </row>
  </sheetData>
  <sheetProtection algorithmName="SHA-512" hashValue="m/eAV/MLXSGtJgiuKphlsInJaRYzJwQ80eBumZS1zjyHeNNFg8tqZdP3k/lAf0wXOJgAF54lBCKzjC50YqE/VQ==" saltValue="CGD/DsR+Q3C8aetuXAXElQ==" spinCount="100000" sheet="1" objects="1" scenarios="1"/>
  <mergeCells count="2">
    <mergeCell ref="A1:E1"/>
    <mergeCell ref="A3:A17"/>
  </mergeCells>
  <phoneticPr fontId="1" type="noConversion"/>
  <conditionalFormatting sqref="B5:B17">
    <cfRule type="duplicateValues" dxfId="9" priority="4"/>
    <cfRule type="duplicateValues" dxfId="8" priority="5"/>
    <cfRule type="duplicateValues" dxfId="7" priority="6"/>
  </conditionalFormatting>
  <conditionalFormatting sqref="B3:D4">
    <cfRule type="duplicateValues" dxfId="6" priority="1"/>
    <cfRule type="duplicateValues" dxfId="5" priority="2"/>
    <cfRule type="duplicateValues" dxfId="4" priority="3"/>
  </conditionalFormatting>
  <conditionalFormatting sqref="D5:D17">
    <cfRule type="duplicateValues" dxfId="3" priority="7"/>
    <cfRule type="duplicateValues" dxfId="2" priority="8"/>
    <cfRule type="duplicateValues" dxfId="1" priority="9"/>
    <cfRule type="expression" dxfId="0" priority="10">
      <formula>AND(D5&lt;&gt;"",COUNTIF($C:$C,D5)&gt;1)</formula>
    </cfRule>
  </conditionalFormatting>
  <pageMargins left="0.70069446338443309" right="0.70069446338443309" top="0.75208338226859028" bottom="0.75208338226859028" header="0.29930554506346935" footer="0.2993055450634693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配置页</vt:lpstr>
      <vt:lpstr>数据页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陈川川</dc:creator>
  <cp:lastModifiedBy>川川 陈</cp:lastModifiedBy>
  <dcterms:created xsi:type="dcterms:W3CDTF">2015-06-05T18:19:34Z</dcterms:created>
  <dcterms:modified xsi:type="dcterms:W3CDTF">2026-03-16T01:15:53Z</dcterms:modified>
</cp:coreProperties>
</file>