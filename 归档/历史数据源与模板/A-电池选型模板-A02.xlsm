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ude 安装\UPS选型助手_开发包\"/>
    </mc:Choice>
  </mc:AlternateContent>
  <xr:revisionPtr revIDLastSave="0" documentId="13_ncr:1_{FE6F4150-6462-4F3F-B254-1CC7E7FA2C64}" xr6:coauthVersionLast="47" xr6:coauthVersionMax="47" xr10:uidLastSave="{00000000-0000-0000-0000-000000000000}"/>
  <bookViews>
    <workbookView xWindow="-120" yWindow="-120" windowWidth="29040" windowHeight="15990" tabRatio="797" activeTab="4" xr2:uid="{00000000-000D-0000-FFFF-FFFF00000000}"/>
  </bookViews>
  <sheets>
    <sheet name="12V电池选型" sheetId="12" r:id="rId1"/>
    <sheet name="2V电池选型" sheetId="14" r:id="rId2"/>
    <sheet name="UPS" sheetId="2" state="hidden" r:id="rId3"/>
    <sheet name="断路器" sheetId="9" state="hidden" r:id="rId4"/>
    <sheet name="数据表" sheetId="13" r:id="rId5"/>
  </sheets>
  <functionGroups builtInGroupCount="19"/>
  <definedNames>
    <definedName name="_xlnm._FilterDatabase" localSheetId="3" hidden="1">断路器!$A$1:$A$21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2" l="1" a="1"/>
  <c r="H11" i="12" a="1"/>
  <c r="H9" i="12" a="1"/>
  <c r="H12" i="12" a="1"/>
  <c r="H9" i="12" l="1"/>
  <c r="I9" i="12" s="1"/>
  <c r="H11" i="12"/>
  <c r="I11" i="12" s="1"/>
  <c r="H10" i="12"/>
  <c r="I10" i="12" s="1"/>
  <c r="H12" i="12"/>
  <c r="I12" i="12"/>
  <c r="H18" i="12" a="1"/>
  <c r="H38" i="12" a="1"/>
  <c r="H25" i="12" a="1"/>
  <c r="H32" i="12" a="1"/>
  <c r="H41" i="12" a="1"/>
  <c r="H28" i="12" a="1"/>
  <c r="H42" i="12" a="1"/>
  <c r="H29" i="12" a="1"/>
  <c r="H43" i="12" a="1"/>
  <c r="H17" i="12" a="1"/>
  <c r="H24" i="12" a="1"/>
  <c r="H19" i="12" a="1"/>
  <c r="H39" i="12" a="1"/>
  <c r="H13" i="12" a="1"/>
  <c r="H33" i="12" a="1"/>
  <c r="H20" i="12" a="1"/>
  <c r="H36" i="12" a="1"/>
  <c r="H30" i="12" a="1"/>
  <c r="H26" i="12" a="1"/>
  <c r="H40" i="12" a="1"/>
  <c r="H35" i="12" a="1"/>
  <c r="H27" i="12" a="1"/>
  <c r="H14" i="12" a="1"/>
  <c r="H34" i="12" a="1"/>
  <c r="H21" i="12" a="1"/>
  <c r="H15" i="12" a="1"/>
  <c r="H22" i="12" a="1"/>
  <c r="H16" i="12" a="1"/>
  <c r="H23" i="12" a="1"/>
  <c r="H37" i="12" a="1"/>
  <c r="H31" i="12" a="1"/>
  <c r="H31" i="12" l="1"/>
  <c r="I31" i="12" s="1"/>
  <c r="H37" i="12"/>
  <c r="I37" i="12" s="1"/>
  <c r="H23" i="12"/>
  <c r="I23" i="12" s="1"/>
  <c r="H16" i="12"/>
  <c r="I16" i="12" s="1"/>
  <c r="H22" i="12"/>
  <c r="I22" i="12" s="1"/>
  <c r="H15" i="12"/>
  <c r="I15" i="12" s="1"/>
  <c r="H21" i="12"/>
  <c r="I21" i="12" s="1"/>
  <c r="H34" i="12"/>
  <c r="I34" i="12" s="1"/>
  <c r="H14" i="12"/>
  <c r="I14" i="12" s="1"/>
  <c r="H27" i="12"/>
  <c r="I27" i="12" s="1"/>
  <c r="H35" i="12"/>
  <c r="I35" i="12" s="1"/>
  <c r="H40" i="12"/>
  <c r="I40" i="12" s="1"/>
  <c r="H26" i="12"/>
  <c r="I26" i="12" s="1"/>
  <c r="H30" i="12"/>
  <c r="I30" i="12" s="1"/>
  <c r="H36" i="12"/>
  <c r="I36" i="12" s="1"/>
  <c r="H20" i="12"/>
  <c r="I20" i="12" s="1"/>
  <c r="H33" i="12"/>
  <c r="I33" i="12" s="1"/>
  <c r="H13" i="12"/>
  <c r="I13" i="12" s="1"/>
  <c r="J2" i="12" s="1"/>
  <c r="H39" i="12"/>
  <c r="I39" i="12" s="1"/>
  <c r="H19" i="12"/>
  <c r="I19" i="12" s="1"/>
  <c r="H24" i="12"/>
  <c r="I24" i="12" s="1"/>
  <c r="H17" i="12"/>
  <c r="I17" i="12" s="1"/>
  <c r="H43" i="12"/>
  <c r="I43" i="12" s="1"/>
  <c r="H29" i="12"/>
  <c r="I29" i="12" s="1"/>
  <c r="H42" i="12"/>
  <c r="I42" i="12" s="1"/>
  <c r="H28" i="12"/>
  <c r="I28" i="12" s="1"/>
  <c r="H41" i="12"/>
  <c r="I41" i="12" s="1"/>
  <c r="H32" i="12"/>
  <c r="I32" i="12" s="1"/>
  <c r="H25" i="12"/>
  <c r="I25" i="12" s="1"/>
  <c r="H38" i="12"/>
  <c r="I38" i="12" s="1"/>
  <c r="H18" i="12"/>
  <c r="I18" i="12" s="1"/>
  <c r="F2" i="14"/>
  <c r="B6" i="14" s="1"/>
  <c r="G6" i="14"/>
  <c r="H6" i="14" s="1"/>
  <c r="M2" i="14"/>
  <c r="F2" i="12"/>
  <c r="B6" i="12" s="1"/>
  <c r="M2" i="12"/>
  <c r="G6" i="12"/>
  <c r="H6" i="12" s="1"/>
  <c r="D20" i="14" a="1"/>
  <c r="D25" i="12" a="1"/>
  <c r="D18" i="14" a="1"/>
  <c r="D20" i="12" a="1"/>
  <c r="D13" i="12" a="1"/>
  <c r="D9" i="12" a="1"/>
  <c r="D18" i="12" a="1"/>
  <c r="D21" i="12" a="1"/>
  <c r="D15" i="14" a="1"/>
  <c r="D26" i="12" a="1"/>
  <c r="D24" i="12" a="1"/>
  <c r="D14" i="12" a="1"/>
  <c r="D27" i="12" a="1"/>
  <c r="D11" i="14" a="1"/>
  <c r="D10" i="12" a="1"/>
  <c r="D10" i="14" a="1"/>
  <c r="D12" i="14" a="1"/>
  <c r="D16" i="14" a="1"/>
  <c r="D23" i="12" a="1"/>
  <c r="D17" i="12" a="1"/>
  <c r="D9" i="14" a="1"/>
  <c r="D13" i="14" a="1"/>
  <c r="D19" i="14" a="1"/>
  <c r="D16" i="12" a="1"/>
  <c r="D15" i="12" a="1"/>
  <c r="D12" i="12" a="1"/>
  <c r="D17" i="14" a="1"/>
  <c r="D14" i="14" a="1"/>
  <c r="D11" i="12" a="1"/>
  <c r="D22" i="12" a="1"/>
  <c r="D19" i="12" a="1"/>
  <c r="D20" i="14" l="1"/>
  <c r="I2" i="12"/>
  <c r="D14" i="14"/>
  <c r="I2" i="14"/>
  <c r="N2" i="14"/>
  <c r="D18" i="14"/>
  <c r="D17" i="14"/>
  <c r="D19" i="14"/>
  <c r="D16" i="14"/>
  <c r="D13" i="14"/>
  <c r="D10" i="14"/>
  <c r="D11" i="14"/>
  <c r="D15" i="14"/>
  <c r="D12" i="14"/>
  <c r="D9" i="14"/>
  <c r="N2" i="12"/>
  <c r="D6" i="12"/>
  <c r="D24" i="12"/>
  <c r="D23" i="12"/>
  <c r="D25" i="12"/>
  <c r="D10" i="12"/>
  <c r="D27" i="12"/>
  <c r="D26" i="12"/>
  <c r="D19" i="12"/>
  <c r="D17" i="12"/>
  <c r="D15" i="12"/>
  <c r="D13" i="12"/>
  <c r="D11" i="12"/>
  <c r="D21" i="12"/>
  <c r="D22" i="12"/>
  <c r="D20" i="12"/>
  <c r="D18" i="12"/>
  <c r="D16" i="12"/>
  <c r="D14" i="12"/>
  <c r="D12" i="12"/>
  <c r="D9" i="12"/>
  <c r="E20" i="14" l="1"/>
  <c r="E16" i="12"/>
  <c r="E11" i="12"/>
  <c r="E9" i="12"/>
  <c r="E12" i="12"/>
  <c r="E14" i="12"/>
  <c r="E19" i="14"/>
  <c r="E12" i="14"/>
  <c r="E10" i="14"/>
  <c r="E13" i="14"/>
  <c r="E18" i="14"/>
  <c r="E9" i="14"/>
  <c r="E16" i="14"/>
  <c r="E15" i="14"/>
  <c r="E14" i="14"/>
  <c r="E17" i="14"/>
  <c r="E11" i="14"/>
  <c r="E26" i="12"/>
  <c r="C6" i="12"/>
  <c r="E6" i="12" s="1"/>
  <c r="I6" i="12" s="1"/>
  <c r="E25" i="12"/>
  <c r="E18" i="12"/>
  <c r="E10" i="12"/>
  <c r="E27" i="12"/>
  <c r="E22" i="12"/>
  <c r="E20" i="12"/>
  <c r="E21" i="12"/>
  <c r="E23" i="12"/>
  <c r="E13" i="12"/>
  <c r="E15" i="12"/>
  <c r="E17" i="12"/>
  <c r="E24" i="12"/>
  <c r="E19" i="12"/>
  <c r="D6" i="14"/>
  <c r="C6" i="14"/>
  <c r="E6" i="14" s="1"/>
  <c r="J2" i="14" l="1"/>
  <c r="J6" i="14" s="1"/>
  <c r="J6" i="12"/>
  <c r="I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<sst xmlns="http://schemas.openxmlformats.org/spreadsheetml/2006/main" count="743" uniqueCount="216">
  <si>
    <t>UPS单机容量（kVA）</t>
  </si>
  <si>
    <t>逆变器效率μ（0.9~1）</t>
    <phoneticPr fontId="2" type="noConversion"/>
  </si>
  <si>
    <t>功率因数cosφ（0.8~1）</t>
    <phoneticPr fontId="2" type="noConversion"/>
  </si>
  <si>
    <r>
      <rPr>
        <sz val="12"/>
        <rFont val="宋体"/>
        <family val="3"/>
        <charset val="134"/>
      </rPr>
      <t>断路器额定电流（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）</t>
    </r>
    <phoneticPr fontId="6" type="noConversion"/>
  </si>
  <si>
    <t>12V电池组节数</t>
    <phoneticPr fontId="2" type="noConversion"/>
  </si>
  <si>
    <t>电池组数量</t>
    <phoneticPr fontId="2" type="noConversion"/>
  </si>
  <si>
    <t>放电时间</t>
    <phoneticPr fontId="2" type="noConversion"/>
  </si>
  <si>
    <t>放电截止电压</t>
    <phoneticPr fontId="2" type="noConversion"/>
  </si>
  <si>
    <t>单只2V电池计算功率P(W)</t>
    <phoneticPr fontId="2" type="noConversion"/>
  </si>
  <si>
    <t>序号</t>
    <phoneticPr fontId="2" type="noConversion"/>
  </si>
  <si>
    <t>5min</t>
    <phoneticPr fontId="8" type="noConversion"/>
  </si>
  <si>
    <t>5min</t>
    <phoneticPr fontId="2" type="noConversion"/>
  </si>
  <si>
    <t>放电截止电压(V)</t>
    <phoneticPr fontId="2" type="noConversion"/>
  </si>
  <si>
    <t>15min</t>
    <phoneticPr fontId="8" type="noConversion"/>
  </si>
  <si>
    <t>10min</t>
    <phoneticPr fontId="8" type="noConversion"/>
  </si>
  <si>
    <t>电池总开关（A）（不考虑冗余）</t>
    <phoneticPr fontId="2" type="noConversion"/>
  </si>
  <si>
    <t>电池分开关（A）（不考虑冗余）</t>
  </si>
  <si>
    <t>蓄电池最大放电电流（A）</t>
    <phoneticPr fontId="2" type="noConversion"/>
  </si>
  <si>
    <t>分组放电电流（A）</t>
    <phoneticPr fontId="2" type="noConversion"/>
  </si>
  <si>
    <t>开关品牌</t>
    <phoneticPr fontId="2" type="noConversion"/>
  </si>
  <si>
    <t>ABB</t>
  </si>
  <si>
    <t>UPS功率（kVA）</t>
    <phoneticPr fontId="2" type="noConversion"/>
  </si>
  <si>
    <t>20min</t>
    <phoneticPr fontId="8" type="noConversion"/>
  </si>
  <si>
    <t>开关3P/4P(默认带中性线)</t>
    <phoneticPr fontId="2" type="noConversion"/>
  </si>
  <si>
    <t>电压</t>
    <phoneticPr fontId="2" type="noConversion"/>
  </si>
  <si>
    <t>电池开关柜或电池开关盒配置</t>
    <phoneticPr fontId="2" type="noConversion"/>
  </si>
  <si>
    <t>电池架</t>
    <phoneticPr fontId="2" type="noConversion"/>
  </si>
  <si>
    <t>推荐型号</t>
    <phoneticPr fontId="2" type="noConversion"/>
  </si>
  <si>
    <t>是否带总开关</t>
    <phoneticPr fontId="2" type="noConversion"/>
  </si>
  <si>
    <t>SP12-80b</t>
    <phoneticPr fontId="8" type="noConversion"/>
  </si>
  <si>
    <t>30min</t>
    <phoneticPr fontId="8" type="noConversion"/>
  </si>
  <si>
    <t>60min</t>
    <phoneticPr fontId="8" type="noConversion"/>
  </si>
  <si>
    <r>
      <t>90</t>
    </r>
    <r>
      <rPr>
        <sz val="12"/>
        <rFont val="宋体"/>
        <family val="3"/>
        <charset val="134"/>
      </rPr>
      <t>min</t>
    </r>
    <phoneticPr fontId="8" type="noConversion"/>
  </si>
  <si>
    <t>120min</t>
    <phoneticPr fontId="8" type="noConversion"/>
  </si>
  <si>
    <r>
      <t>180</t>
    </r>
    <r>
      <rPr>
        <sz val="12"/>
        <rFont val="宋体"/>
        <family val="3"/>
        <charset val="134"/>
      </rPr>
      <t>min</t>
    </r>
    <phoneticPr fontId="8" type="noConversion"/>
  </si>
  <si>
    <r>
      <t>240</t>
    </r>
    <r>
      <rPr>
        <sz val="12"/>
        <rFont val="宋体"/>
        <family val="3"/>
        <charset val="134"/>
      </rPr>
      <t>min</t>
    </r>
    <phoneticPr fontId="8" type="noConversion"/>
  </si>
  <si>
    <r>
      <t>300</t>
    </r>
    <r>
      <rPr>
        <sz val="12"/>
        <rFont val="宋体"/>
        <family val="3"/>
        <charset val="134"/>
      </rPr>
      <t>min</t>
    </r>
    <phoneticPr fontId="8" type="noConversion"/>
  </si>
  <si>
    <r>
      <t>480</t>
    </r>
    <r>
      <rPr>
        <sz val="12"/>
        <rFont val="宋体"/>
        <family val="3"/>
        <charset val="134"/>
      </rPr>
      <t>min</t>
    </r>
    <phoneticPr fontId="8" type="noConversion"/>
  </si>
  <si>
    <r>
      <t>600</t>
    </r>
    <r>
      <rPr>
        <sz val="12"/>
        <rFont val="宋体"/>
        <family val="3"/>
        <charset val="134"/>
      </rPr>
      <t>min</t>
    </r>
    <phoneticPr fontId="8" type="noConversion"/>
  </si>
  <si>
    <r>
      <t>1200</t>
    </r>
    <r>
      <rPr>
        <sz val="12"/>
        <rFont val="宋体"/>
        <family val="3"/>
        <charset val="134"/>
      </rPr>
      <t>min</t>
    </r>
    <phoneticPr fontId="8" type="noConversion"/>
  </si>
  <si>
    <t>SP12-120b</t>
    <phoneticPr fontId="8" type="noConversion"/>
  </si>
  <si>
    <t>SP12-150b</t>
    <phoneticPr fontId="8" type="noConversion"/>
  </si>
  <si>
    <t>45min</t>
    <phoneticPr fontId="8" type="noConversion"/>
  </si>
  <si>
    <t>600min</t>
    <phoneticPr fontId="8" type="noConversion"/>
  </si>
  <si>
    <t>1200min</t>
    <phoneticPr fontId="8" type="noConversion"/>
  </si>
  <si>
    <t>SP12-200b</t>
    <phoneticPr fontId="8" type="noConversion"/>
  </si>
  <si>
    <t>360min</t>
    <phoneticPr fontId="8" type="noConversion"/>
  </si>
  <si>
    <t>查找值</t>
    <phoneticPr fontId="2" type="noConversion"/>
  </si>
  <si>
    <t>是</t>
  </si>
  <si>
    <t>是否满足</t>
    <phoneticPr fontId="2" type="noConversion"/>
  </si>
  <si>
    <t>10min</t>
    <phoneticPr fontId="2" type="noConversion"/>
  </si>
  <si>
    <t>15min</t>
    <phoneticPr fontId="2" type="noConversion"/>
  </si>
  <si>
    <t>20min</t>
    <phoneticPr fontId="2" type="noConversion"/>
  </si>
  <si>
    <t>30min</t>
    <phoneticPr fontId="2" type="noConversion"/>
  </si>
  <si>
    <t>60min</t>
    <phoneticPr fontId="2" type="noConversion"/>
  </si>
  <si>
    <t>90min</t>
    <phoneticPr fontId="2" type="noConversion"/>
  </si>
  <si>
    <t>120min</t>
    <phoneticPr fontId="2" type="noConversion"/>
  </si>
  <si>
    <t>180min</t>
    <phoneticPr fontId="2" type="noConversion"/>
  </si>
  <si>
    <t>240min</t>
    <phoneticPr fontId="2" type="noConversion"/>
  </si>
  <si>
    <t>300min</t>
    <phoneticPr fontId="2" type="noConversion"/>
  </si>
  <si>
    <t>360min</t>
    <phoneticPr fontId="2" type="noConversion"/>
  </si>
  <si>
    <t>480min</t>
    <phoneticPr fontId="2" type="noConversion"/>
  </si>
  <si>
    <t>600min</t>
    <phoneticPr fontId="2" type="noConversion"/>
  </si>
  <si>
    <t>SP12-38</t>
    <phoneticPr fontId="2" type="noConversion"/>
  </si>
  <si>
    <t>SP12-38b</t>
    <phoneticPr fontId="2" type="noConversion"/>
  </si>
  <si>
    <t>电池型号(普通型）</t>
    <phoneticPr fontId="2" type="noConversion"/>
  </si>
  <si>
    <t>SP12-42</t>
    <phoneticPr fontId="2" type="noConversion"/>
  </si>
  <si>
    <t>SP12-50</t>
    <phoneticPr fontId="2" type="noConversion"/>
  </si>
  <si>
    <t>SP12-50b</t>
    <phoneticPr fontId="2" type="noConversion"/>
  </si>
  <si>
    <t>SP12-65</t>
    <phoneticPr fontId="2" type="noConversion"/>
  </si>
  <si>
    <t>SP12-65b</t>
    <phoneticPr fontId="2" type="noConversion"/>
  </si>
  <si>
    <t>SP12-80</t>
    <phoneticPr fontId="2" type="noConversion"/>
  </si>
  <si>
    <t>SP12-80b</t>
    <phoneticPr fontId="2" type="noConversion"/>
  </si>
  <si>
    <t>SP12-100</t>
    <phoneticPr fontId="2" type="noConversion"/>
  </si>
  <si>
    <t>SP12-100b</t>
    <phoneticPr fontId="2" type="noConversion"/>
  </si>
  <si>
    <t>SP12-120</t>
    <phoneticPr fontId="2" type="noConversion"/>
  </si>
  <si>
    <t>SP12-120b</t>
    <phoneticPr fontId="2" type="noConversion"/>
  </si>
  <si>
    <t>SP12-150</t>
    <phoneticPr fontId="2" type="noConversion"/>
  </si>
  <si>
    <t>SP12-150b</t>
    <phoneticPr fontId="2" type="noConversion"/>
  </si>
  <si>
    <t>SP12-200</t>
    <phoneticPr fontId="2" type="noConversion"/>
  </si>
  <si>
    <t>SP12-200b</t>
    <phoneticPr fontId="2" type="noConversion"/>
  </si>
  <si>
    <t>SP12-250</t>
    <phoneticPr fontId="2" type="noConversion"/>
  </si>
  <si>
    <t>SP12-250b</t>
    <phoneticPr fontId="2" type="noConversion"/>
  </si>
  <si>
    <r>
      <t>1</t>
    </r>
    <r>
      <rPr>
        <sz val="10"/>
        <rFont val="黑体"/>
        <family val="3"/>
        <charset val="134"/>
      </rPr>
      <t>200min</t>
    </r>
    <phoneticPr fontId="2" type="noConversion"/>
  </si>
  <si>
    <t>SPG12120b</t>
    <phoneticPr fontId="2" type="noConversion"/>
  </si>
  <si>
    <t>SPG12160b</t>
    <phoneticPr fontId="2" type="noConversion"/>
  </si>
  <si>
    <t>SPG12175</t>
    <phoneticPr fontId="2" type="noConversion"/>
  </si>
  <si>
    <t>SPG12215</t>
    <phoneticPr fontId="2" type="noConversion"/>
  </si>
  <si>
    <t>SPG12215b</t>
    <phoneticPr fontId="2" type="noConversion"/>
  </si>
  <si>
    <t>SPG12255</t>
    <phoneticPr fontId="2" type="noConversion"/>
  </si>
  <si>
    <t>SPG12255b</t>
    <phoneticPr fontId="2" type="noConversion"/>
  </si>
  <si>
    <t>SPG12300</t>
    <phoneticPr fontId="2" type="noConversion"/>
  </si>
  <si>
    <t>SPG12300b</t>
    <phoneticPr fontId="2" type="noConversion"/>
  </si>
  <si>
    <t>SPG12320</t>
    <phoneticPr fontId="2" type="noConversion"/>
  </si>
  <si>
    <t>SPG12330b</t>
    <phoneticPr fontId="2" type="noConversion"/>
  </si>
  <si>
    <t>SPG12340</t>
    <phoneticPr fontId="2" type="noConversion"/>
  </si>
  <si>
    <t>SPG12360b</t>
    <phoneticPr fontId="2" type="noConversion"/>
  </si>
  <si>
    <t>SPG12390</t>
    <phoneticPr fontId="2" type="noConversion"/>
  </si>
  <si>
    <t>SPG12400b</t>
    <phoneticPr fontId="2" type="noConversion"/>
  </si>
  <si>
    <t>SPG12420b</t>
    <phoneticPr fontId="2" type="noConversion"/>
  </si>
  <si>
    <t>SPG12440</t>
    <phoneticPr fontId="2" type="noConversion"/>
  </si>
  <si>
    <t>SPG12490</t>
    <phoneticPr fontId="2" type="noConversion"/>
  </si>
  <si>
    <t>SPG12490b</t>
    <phoneticPr fontId="2" type="noConversion"/>
  </si>
  <si>
    <t>SPG12500</t>
    <phoneticPr fontId="2" type="noConversion"/>
  </si>
  <si>
    <t>SPG12540b</t>
    <phoneticPr fontId="2" type="noConversion"/>
  </si>
  <si>
    <t>SPG12570</t>
    <phoneticPr fontId="2" type="noConversion"/>
  </si>
  <si>
    <t>SPG12600</t>
    <phoneticPr fontId="2" type="noConversion"/>
  </si>
  <si>
    <t>SPG12605b</t>
    <phoneticPr fontId="2" type="noConversion"/>
  </si>
  <si>
    <t>SPG12650b</t>
    <phoneticPr fontId="2" type="noConversion"/>
  </si>
  <si>
    <t>SPG12660</t>
    <phoneticPr fontId="2" type="noConversion"/>
  </si>
  <si>
    <t>SPG12705b</t>
    <phoneticPr fontId="2" type="noConversion"/>
  </si>
  <si>
    <t>SPG12720</t>
    <phoneticPr fontId="2" type="noConversion"/>
  </si>
  <si>
    <t>SPG12750b</t>
    <phoneticPr fontId="2" type="noConversion"/>
  </si>
  <si>
    <t>SPG12770</t>
    <phoneticPr fontId="2" type="noConversion"/>
  </si>
  <si>
    <t>SPG12800</t>
    <phoneticPr fontId="2" type="noConversion"/>
  </si>
  <si>
    <t>SPG12800b</t>
    <phoneticPr fontId="2" type="noConversion"/>
  </si>
  <si>
    <t>SPG12870</t>
    <phoneticPr fontId="2" type="noConversion"/>
  </si>
  <si>
    <t>SPG12890b</t>
    <phoneticPr fontId="2" type="noConversion"/>
  </si>
  <si>
    <t>电池型号(高功率型）</t>
    <phoneticPr fontId="2" type="noConversion"/>
  </si>
  <si>
    <t>是否选择高功率型</t>
    <phoneticPr fontId="2" type="noConversion"/>
  </si>
  <si>
    <t>10min</t>
    <phoneticPr fontId="8" type="noConversion"/>
  </si>
  <si>
    <t>15min</t>
    <phoneticPr fontId="8" type="noConversion"/>
  </si>
  <si>
    <t>20min</t>
    <phoneticPr fontId="8" type="noConversion"/>
  </si>
  <si>
    <t>30min</t>
    <phoneticPr fontId="8" type="noConversion"/>
  </si>
  <si>
    <t>45min</t>
    <phoneticPr fontId="8" type="noConversion"/>
  </si>
  <si>
    <t>SP12-38b</t>
    <phoneticPr fontId="8" type="noConversion"/>
  </si>
  <si>
    <t>10min</t>
    <phoneticPr fontId="8" type="noConversion"/>
  </si>
  <si>
    <t>15min</t>
    <phoneticPr fontId="8" type="noConversion"/>
  </si>
  <si>
    <t>20min</t>
    <phoneticPr fontId="8" type="noConversion"/>
  </si>
  <si>
    <t>30min</t>
    <phoneticPr fontId="8" type="noConversion"/>
  </si>
  <si>
    <t>60min</t>
    <phoneticPr fontId="8" type="noConversion"/>
  </si>
  <si>
    <t>90min</t>
    <phoneticPr fontId="8" type="noConversion"/>
  </si>
  <si>
    <t>120min</t>
    <phoneticPr fontId="8" type="noConversion"/>
  </si>
  <si>
    <t>180min</t>
    <phoneticPr fontId="8" type="noConversion"/>
  </si>
  <si>
    <t>240min</t>
    <phoneticPr fontId="8" type="noConversion"/>
  </si>
  <si>
    <t>300min</t>
    <phoneticPr fontId="8" type="noConversion"/>
  </si>
  <si>
    <t>480min</t>
    <phoneticPr fontId="8" type="noConversion"/>
  </si>
  <si>
    <t>600min</t>
    <phoneticPr fontId="8" type="noConversion"/>
  </si>
  <si>
    <t>1200min</t>
    <phoneticPr fontId="8" type="noConversion"/>
  </si>
  <si>
    <t>SP12-50b</t>
    <phoneticPr fontId="8" type="noConversion"/>
  </si>
  <si>
    <t>SP12-65b</t>
    <phoneticPr fontId="8" type="noConversion"/>
  </si>
  <si>
    <t>SP12-100b</t>
    <phoneticPr fontId="8" type="noConversion"/>
  </si>
  <si>
    <t>SP12-250b</t>
    <phoneticPr fontId="8" type="noConversion"/>
  </si>
  <si>
    <r>
      <t>S</t>
    </r>
    <r>
      <rPr>
        <sz val="12"/>
        <rFont val="宋体"/>
        <family val="3"/>
        <charset val="134"/>
      </rPr>
      <t>PG12120b</t>
    </r>
    <phoneticPr fontId="8" type="noConversion"/>
  </si>
  <si>
    <t>5min</t>
    <phoneticPr fontId="8" type="noConversion"/>
  </si>
  <si>
    <r>
      <t>6</t>
    </r>
    <r>
      <rPr>
        <sz val="12"/>
        <rFont val="宋体"/>
        <family val="3"/>
        <charset val="134"/>
      </rPr>
      <t>0min</t>
    </r>
    <phoneticPr fontId="8" type="noConversion"/>
  </si>
  <si>
    <r>
      <t>9</t>
    </r>
    <r>
      <rPr>
        <sz val="12"/>
        <rFont val="宋体"/>
        <family val="3"/>
        <charset val="134"/>
      </rPr>
      <t>0min</t>
    </r>
    <phoneticPr fontId="8" type="noConversion"/>
  </si>
  <si>
    <r>
      <t>1</t>
    </r>
    <r>
      <rPr>
        <sz val="12"/>
        <rFont val="宋体"/>
        <family val="3"/>
        <charset val="134"/>
      </rPr>
      <t>20min</t>
    </r>
    <phoneticPr fontId="8" type="noConversion"/>
  </si>
  <si>
    <r>
      <t>1</t>
    </r>
    <r>
      <rPr>
        <sz val="12"/>
        <rFont val="宋体"/>
        <family val="3"/>
        <charset val="134"/>
      </rPr>
      <t>80min</t>
    </r>
    <phoneticPr fontId="8" type="noConversion"/>
  </si>
  <si>
    <r>
      <t>2</t>
    </r>
    <r>
      <rPr>
        <sz val="12"/>
        <rFont val="宋体"/>
        <family val="3"/>
        <charset val="134"/>
      </rPr>
      <t>40min</t>
    </r>
    <phoneticPr fontId="8" type="noConversion"/>
  </si>
  <si>
    <r>
      <t>3</t>
    </r>
    <r>
      <rPr>
        <sz val="12"/>
        <rFont val="宋体"/>
        <family val="3"/>
        <charset val="134"/>
      </rPr>
      <t>00min</t>
    </r>
    <phoneticPr fontId="8" type="noConversion"/>
  </si>
  <si>
    <r>
      <t>4</t>
    </r>
    <r>
      <rPr>
        <sz val="12"/>
        <rFont val="宋体"/>
        <family val="3"/>
        <charset val="134"/>
      </rPr>
      <t>80min</t>
    </r>
    <phoneticPr fontId="8" type="noConversion"/>
  </si>
  <si>
    <r>
      <t>6</t>
    </r>
    <r>
      <rPr>
        <sz val="12"/>
        <rFont val="宋体"/>
        <family val="3"/>
        <charset val="134"/>
      </rPr>
      <t>00min</t>
    </r>
    <phoneticPr fontId="8" type="noConversion"/>
  </si>
  <si>
    <t>SPG12160b</t>
    <phoneticPr fontId="8" type="noConversion"/>
  </si>
  <si>
    <t>SPG12215b</t>
    <phoneticPr fontId="8" type="noConversion"/>
  </si>
  <si>
    <t>SPG12255b</t>
    <phoneticPr fontId="8" type="noConversion"/>
  </si>
  <si>
    <t>SPG12300b</t>
    <phoneticPr fontId="8" type="noConversion"/>
  </si>
  <si>
    <t>SPG12330b</t>
    <phoneticPr fontId="8" type="noConversion"/>
  </si>
  <si>
    <t>SPG12360b</t>
    <phoneticPr fontId="8" type="noConversion"/>
  </si>
  <si>
    <t>SPG12400b</t>
    <phoneticPr fontId="8" type="noConversion"/>
  </si>
  <si>
    <t>SPG12420b</t>
    <phoneticPr fontId="8" type="noConversion"/>
  </si>
  <si>
    <t>SPG12490b</t>
    <phoneticPr fontId="8" type="noConversion"/>
  </si>
  <si>
    <t>SPG12540b</t>
    <phoneticPr fontId="8" type="noConversion"/>
  </si>
  <si>
    <t>SPG12605b</t>
    <phoneticPr fontId="8" type="noConversion"/>
  </si>
  <si>
    <t>SPG12650b</t>
    <phoneticPr fontId="8" type="noConversion"/>
  </si>
  <si>
    <t>SPG12705b</t>
    <phoneticPr fontId="8" type="noConversion"/>
  </si>
  <si>
    <t>SPG12750b</t>
    <phoneticPr fontId="8" type="noConversion"/>
  </si>
  <si>
    <t>SPG12800b</t>
    <phoneticPr fontId="8" type="noConversion"/>
  </si>
  <si>
    <t>SPG12890b</t>
    <phoneticPr fontId="8" type="noConversion"/>
  </si>
  <si>
    <t>后备时间</t>
    <phoneticPr fontId="14" type="noConversion"/>
  </si>
  <si>
    <t>15min</t>
    <phoneticPr fontId="14" type="noConversion"/>
  </si>
  <si>
    <t>速算</t>
    <phoneticPr fontId="14" type="noConversion"/>
  </si>
  <si>
    <t>时间系数</t>
    <phoneticPr fontId="14" type="noConversion"/>
  </si>
  <si>
    <t>30min</t>
    <phoneticPr fontId="14" type="noConversion"/>
  </si>
  <si>
    <t>60min</t>
    <phoneticPr fontId="14" type="noConversion"/>
  </si>
  <si>
    <t>90min</t>
    <phoneticPr fontId="14" type="noConversion"/>
  </si>
  <si>
    <t>120min</t>
    <phoneticPr fontId="14" type="noConversion"/>
  </si>
  <si>
    <t>150min</t>
    <phoneticPr fontId="14" type="noConversion"/>
  </si>
  <si>
    <t>180min</t>
    <phoneticPr fontId="14" type="noConversion"/>
  </si>
  <si>
    <t>240min</t>
    <phoneticPr fontId="14" type="noConversion"/>
  </si>
  <si>
    <t>480min</t>
    <phoneticPr fontId="14" type="noConversion"/>
  </si>
  <si>
    <t>速算(Ah)</t>
    <phoneticPr fontId="14" type="noConversion"/>
  </si>
  <si>
    <t>负载功率（kW）</t>
    <phoneticPr fontId="2" type="noConversion"/>
  </si>
  <si>
    <t>GFMD-100B</t>
    <phoneticPr fontId="8" type="noConversion"/>
  </si>
  <si>
    <t>2V电池组节数</t>
    <phoneticPr fontId="2" type="noConversion"/>
  </si>
  <si>
    <t>GFMD-100B</t>
    <phoneticPr fontId="2" type="noConversion"/>
  </si>
  <si>
    <t>GFMD-200B</t>
    <phoneticPr fontId="8" type="noConversion"/>
  </si>
  <si>
    <t>GFMD-300B</t>
    <phoneticPr fontId="8" type="noConversion"/>
  </si>
  <si>
    <t>GFMD-400B</t>
    <phoneticPr fontId="8" type="noConversion"/>
  </si>
  <si>
    <t>GFMD-500B</t>
    <phoneticPr fontId="8" type="noConversion"/>
  </si>
  <si>
    <t>GFMD-600B</t>
    <phoneticPr fontId="8" type="noConversion"/>
  </si>
  <si>
    <t>GFMD-800B</t>
    <phoneticPr fontId="8" type="noConversion"/>
  </si>
  <si>
    <t>GFMD-1000B</t>
    <phoneticPr fontId="8" type="noConversion"/>
  </si>
  <si>
    <t>GFMD-1200B</t>
    <phoneticPr fontId="8" type="noConversion"/>
  </si>
  <si>
    <t>GFMD-1500B</t>
    <phoneticPr fontId="8" type="noConversion"/>
  </si>
  <si>
    <t>GFMD-2000B</t>
    <phoneticPr fontId="8" type="noConversion"/>
  </si>
  <si>
    <t>GFMD-200B</t>
    <phoneticPr fontId="2" type="noConversion"/>
  </si>
  <si>
    <t>GFMD-300B</t>
    <phoneticPr fontId="2" type="noConversion"/>
  </si>
  <si>
    <t>GFMD-400B</t>
    <phoneticPr fontId="2" type="noConversion"/>
  </si>
  <si>
    <t>GFMD-500B</t>
    <phoneticPr fontId="2" type="noConversion"/>
  </si>
  <si>
    <t>GFMD-600B</t>
    <phoneticPr fontId="2" type="noConversion"/>
  </si>
  <si>
    <t>GFMD-800B</t>
    <phoneticPr fontId="2" type="noConversion"/>
  </si>
  <si>
    <t>GFMD-1000B</t>
    <phoneticPr fontId="2" type="noConversion"/>
  </si>
  <si>
    <t>GFMD-1200B</t>
    <phoneticPr fontId="2" type="noConversion"/>
  </si>
  <si>
    <t>GFMD-1500B</t>
    <phoneticPr fontId="2" type="noConversion"/>
  </si>
  <si>
    <t>GFMD-2000B</t>
    <phoneticPr fontId="2" type="noConversion"/>
  </si>
  <si>
    <t>45min</t>
    <phoneticPr fontId="2" type="noConversion"/>
  </si>
  <si>
    <t>国产</t>
  </si>
  <si>
    <t>60min</t>
  </si>
  <si>
    <r>
      <t>功率因数cos</t>
    </r>
    <r>
      <rPr>
        <b/>
        <sz val="10"/>
        <rFont val="Calibri"/>
        <family val="3"/>
        <charset val="161"/>
      </rPr>
      <t>φ</t>
    </r>
    <r>
      <rPr>
        <b/>
        <sz val="10"/>
        <rFont val="黑体"/>
        <family val="3"/>
        <charset val="134"/>
      </rPr>
      <t>（0.8~1）</t>
    </r>
    <phoneticPr fontId="2" type="noConversion"/>
  </si>
  <si>
    <r>
      <t>逆变器效率</t>
    </r>
    <r>
      <rPr>
        <b/>
        <sz val="10"/>
        <rFont val="Calibri"/>
        <family val="3"/>
        <charset val="161"/>
      </rPr>
      <t>μ</t>
    </r>
    <r>
      <rPr>
        <b/>
        <sz val="10"/>
        <rFont val="黑体"/>
        <family val="3"/>
        <charset val="134"/>
      </rPr>
      <t>（0.9~1）</t>
    </r>
    <phoneticPr fontId="2" type="noConversion"/>
  </si>
  <si>
    <t>15min</t>
  </si>
  <si>
    <t>GFMD-3000B</t>
    <phoneticPr fontId="8" type="noConversion"/>
  </si>
  <si>
    <t>SPG12185b</t>
    <phoneticPr fontId="2" type="noConversion"/>
  </si>
  <si>
    <t>SPG12185b</t>
    <phoneticPr fontId="8" type="noConversion"/>
  </si>
  <si>
    <t>GFMD-3000B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</si>
</sst>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);[Red]\(0.00\)"/>
    <numFmt numFmtId="177" formatCode="0_);[Red]\(0\)"/>
    <numFmt numFmtId="178" formatCode="0_ "/>
  </numFmts>
  <fonts count="16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黑体"/>
      <family val="3"/>
      <charset val="134"/>
    </font>
    <font>
      <sz val="12"/>
      <name val="Times New Roman"/>
      <family val="1"/>
    </font>
    <font>
      <sz val="9"/>
      <name val="宋体"/>
      <family val="3"/>
      <charset val="134"/>
    </font>
    <font>
      <sz val="12"/>
      <name val="Times New Roman"/>
      <family val="1"/>
    </font>
    <font>
      <sz val="9"/>
      <name val="宋体"/>
      <family val="3"/>
      <charset val="134"/>
    </font>
    <font>
      <sz val="10"/>
      <color rgb="FFFF0000"/>
      <name val="黑体"/>
      <family val="3"/>
      <charset val="134"/>
    </font>
    <font>
      <sz val="12"/>
      <name val="宋体"/>
      <family val="3"/>
      <charset val="134"/>
    </font>
    <font>
      <b/>
      <sz val="10"/>
      <name val="黑体"/>
      <family val="3"/>
      <charset val="134"/>
    </font>
    <font>
      <sz val="10"/>
      <color theme="1"/>
      <name val="黑体"/>
      <family val="3"/>
      <charset val="134"/>
    </font>
    <font>
      <b/>
      <sz val="10"/>
      <color theme="1"/>
      <name val="黑体"/>
      <family val="3"/>
      <charset val="134"/>
    </font>
    <font>
      <sz val="11"/>
      <color rgb="FF000000"/>
      <name val="等线"/>
      <family val="3"/>
      <charset val="134"/>
    </font>
    <font>
      <b/>
      <sz val="10"/>
      <name val="Calibri"/>
      <family val="3"/>
      <charset val="16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 applyProtection="0"/>
  </cellStyleXfs>
  <cellXfs count="91">
    <xf numFmtId="0" fontId="0" fillId="0" borderId="0" xfId="0" applyProtection="1"/>
    <xf numFmtId="0" fontId="3" fillId="0" borderId="0" xfId="0" applyFont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/>
    </xf>
    <xf numFmtId="0" fontId="0" fillId="0" borderId="4" xfId="0" applyBorder="1" applyAlignment="1" applyProtection="1">
      <alignment horizontal="center" vertical="center"/>
    </xf>
    <xf numFmtId="0" fontId="10" fillId="0" borderId="0" xfId="0" applyFont="1" applyProtection="1"/>
    <xf numFmtId="0" fontId="10" fillId="0" borderId="4" xfId="0" applyFont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/>
    </xf>
    <xf numFmtId="176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77" fontId="4" fillId="0" borderId="2" xfId="0" applyNumberFormat="1" applyFont="1" applyBorder="1" applyAlignment="1" applyProtection="1">
      <alignment horizontal="center" vertical="center" wrapText="1"/>
      <protection locked="0"/>
    </xf>
    <xf numFmtId="176" fontId="1" fillId="0" borderId="2" xfId="0" applyNumberFormat="1" applyFont="1" applyBorder="1" applyAlignment="1" applyProtection="1">
      <alignment horizontal="center"/>
      <protection locked="0"/>
    </xf>
    <xf numFmtId="0" fontId="4" fillId="0" borderId="0" xfId="0" applyFont="1" applyProtection="1"/>
    <xf numFmtId="177" fontId="11" fillId="0" borderId="2" xfId="0" applyNumberFormat="1" applyFont="1" applyBorder="1" applyAlignment="1" applyProtection="1">
      <alignment horizontal="center" vertical="center" wrapText="1"/>
    </xf>
    <xf numFmtId="177" fontId="11" fillId="0" borderId="4" xfId="0" applyNumberFormat="1" applyFont="1" applyBorder="1" applyAlignment="1" applyProtection="1">
      <alignment horizontal="center" vertical="center" wrapText="1"/>
    </xf>
    <xf numFmtId="177" fontId="11" fillId="2" borderId="4" xfId="0" applyNumberFormat="1" applyFont="1" applyFill="1" applyBorder="1" applyAlignment="1" applyProtection="1">
      <alignment horizontal="center" vertical="center" wrapText="1"/>
    </xf>
    <xf numFmtId="177" fontId="11" fillId="0" borderId="6" xfId="0" applyNumberFormat="1" applyFont="1" applyBorder="1" applyAlignment="1" applyProtection="1">
      <alignment horizontal="center" vertical="center" wrapText="1"/>
    </xf>
    <xf numFmtId="177" fontId="11" fillId="0" borderId="5" xfId="0" applyNumberFormat="1" applyFont="1" applyBorder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center"/>
    </xf>
    <xf numFmtId="0" fontId="13" fillId="0" borderId="6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" fillId="3" borderId="4" xfId="0" applyFont="1" applyFill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3" borderId="10" xfId="0" applyFont="1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/>
    </xf>
    <xf numFmtId="0" fontId="0" fillId="0" borderId="9" xfId="0" applyBorder="1" applyProtection="1"/>
    <xf numFmtId="0" fontId="14" fillId="0" borderId="4" xfId="0" applyFont="1" applyBorder="1" applyAlignment="1" applyProtection="1">
      <alignment horizontal="center" vertical="center" wrapText="1"/>
    </xf>
    <xf numFmtId="178" fontId="14" fillId="0" borderId="4" xfId="0" applyNumberFormat="1" applyFont="1" applyBorder="1" applyAlignment="1" applyProtection="1">
      <alignment horizontal="center" vertical="center" wrapText="1"/>
    </xf>
    <xf numFmtId="176" fontId="14" fillId="0" borderId="4" xfId="0" applyNumberFormat="1" applyFont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177" fontId="4" fillId="0" borderId="4" xfId="0" applyNumberFormat="1" applyFont="1" applyBorder="1" applyAlignment="1" applyProtection="1">
      <alignment horizontal="center" vertical="center" wrapText="1"/>
      <protection hidden="1"/>
    </xf>
    <xf numFmtId="177" fontId="4" fillId="0" borderId="2" xfId="0" applyNumberFormat="1" applyFont="1" applyBorder="1" applyAlignment="1" applyProtection="1">
      <alignment horizontal="center" vertical="center" wrapText="1"/>
      <protection hidden="1"/>
    </xf>
    <xf numFmtId="177" fontId="9" fillId="0" borderId="2" xfId="0" applyNumberFormat="1" applyFont="1" applyBorder="1" applyAlignment="1" applyProtection="1">
      <alignment horizontal="center" vertical="center" wrapText="1"/>
      <protection hidden="1"/>
    </xf>
    <xf numFmtId="177" fontId="4" fillId="0" borderId="5" xfId="0" applyNumberFormat="1" applyFont="1" applyBorder="1" applyAlignment="1" applyProtection="1">
      <alignment horizontal="center" vertical="center" wrapText="1"/>
      <protection hidden="1"/>
    </xf>
    <xf numFmtId="177" fontId="4" fillId="0" borderId="6" xfId="0" applyNumberFormat="1" applyFont="1" applyBorder="1" applyAlignment="1" applyProtection="1">
      <alignment horizontal="center" vertical="center" wrapText="1"/>
      <protection hidden="1"/>
    </xf>
    <xf numFmtId="0" fontId="12" fillId="0" borderId="6" xfId="0" applyFont="1" applyBorder="1" applyAlignment="1" applyProtection="1">
      <alignment horizontal="center" vertical="center"/>
      <protection hidden="1"/>
    </xf>
    <xf numFmtId="0" fontId="12" fillId="0" borderId="4" xfId="0" applyFont="1" applyBorder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 vertical="center"/>
      <protection hidden="1"/>
    </xf>
    <xf numFmtId="0" fontId="0" fillId="0" borderId="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0" xfId="0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14" fillId="0" borderId="4" xfId="0" applyFont="1" applyBorder="1" applyAlignment="1" applyProtection="1">
      <alignment horizontal="center" vertical="center" wrapText="1"/>
      <protection hidden="1"/>
    </xf>
    <xf numFmtId="178" fontId="14" fillId="0" borderId="4" xfId="0" applyNumberFormat="1" applyFont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176" fontId="14" fillId="0" borderId="4" xfId="0" applyNumberFormat="1" applyFont="1" applyBorder="1" applyAlignment="1" applyProtection="1">
      <alignment horizontal="center" vertical="center"/>
      <protection hidden="1"/>
    </xf>
    <xf numFmtId="178" fontId="14" fillId="0" borderId="4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4" borderId="4" xfId="0" applyFill="1" applyBorder="1" applyAlignment="1" applyProtection="1">
      <alignment horizontal="center" vertical="center"/>
      <protection hidden="1"/>
    </xf>
    <xf numFmtId="177" fontId="4" fillId="0" borderId="2" xfId="0" applyNumberFormat="1" applyFont="1" applyBorder="1" applyAlignment="1" applyProtection="1">
      <alignment horizontal="center" vertical="center" wrapText="1"/>
      <protection locked="0" hidden="1"/>
    </xf>
    <xf numFmtId="0" fontId="4" fillId="0" borderId="4" xfId="0" applyFont="1" applyBorder="1" applyAlignment="1" applyProtection="1">
      <alignment horizontal="center" vertical="center" wrapText="1"/>
      <protection hidden="1"/>
    </xf>
    <xf numFmtId="177" fontId="3" fillId="0" borderId="4" xfId="0" applyNumberFormat="1" applyFont="1" applyBorder="1" applyAlignment="1" applyProtection="1">
      <alignment horizontal="center" vertical="center"/>
      <protection hidden="1"/>
    </xf>
    <xf numFmtId="177" fontId="0" fillId="0" borderId="3" xfId="0" applyNumberFormat="1" applyBorder="1" applyAlignment="1" applyProtection="1">
      <alignment horizontal="center"/>
      <protection hidden="1"/>
    </xf>
    <xf numFmtId="177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1" fillId="0" borderId="4" xfId="0" applyFont="1" applyBorder="1" applyAlignment="1" applyProtection="1">
      <alignment horizontal="center"/>
    </xf>
    <xf numFmtId="0" fontId="1" fillId="2" borderId="4" xfId="0" applyFont="1" applyFill="1" applyBorder="1" applyAlignment="1" applyProtection="1">
      <alignment horizontal="center" vertical="center"/>
    </xf>
    <xf numFmtId="177" fontId="4" fillId="2" borderId="2" xfId="0" applyNumberFormat="1" applyFont="1" applyFill="1" applyBorder="1" applyAlignment="1" applyProtection="1">
      <alignment horizontal="center" vertical="center" wrapText="1"/>
      <protection hidden="1"/>
    </xf>
    <xf numFmtId="177" fontId="9" fillId="0" borderId="4" xfId="0" applyNumberFormat="1" applyFont="1" applyBorder="1" applyAlignment="1" applyProtection="1">
      <alignment horizontal="center" vertical="center" wrapText="1"/>
      <protection hidden="1"/>
    </xf>
    <xf numFmtId="177" fontId="11" fillId="0" borderId="0" xfId="0" applyNumberFormat="1" applyFont="1" applyAlignment="1" applyProtection="1">
      <alignment horizontal="center" vertical="center" wrapText="1"/>
      <protection hidden="1"/>
    </xf>
    <xf numFmtId="177" fontId="4" fillId="0" borderId="0" xfId="0" applyNumberFormat="1" applyFont="1" applyAlignment="1" applyProtection="1">
      <alignment horizontal="center" vertical="center" wrapText="1"/>
      <protection hidden="1"/>
    </xf>
    <xf numFmtId="177" fontId="9" fillId="0" borderId="0" xfId="0" applyNumberFormat="1" applyFont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177" fontId="11" fillId="0" borderId="12" xfId="0" applyNumberFormat="1" applyFont="1" applyBorder="1" applyAlignment="1" applyProtection="1">
      <alignment horizontal="center" vertical="center" wrapText="1"/>
      <protection hidden="1"/>
    </xf>
    <xf numFmtId="177" fontId="11" fillId="0" borderId="13" xfId="0" applyNumberFormat="1" applyFont="1" applyBorder="1" applyAlignment="1" applyProtection="1">
      <alignment horizontal="center" vertical="center" wrapText="1"/>
      <protection hidden="1"/>
    </xf>
    <xf numFmtId="177" fontId="11" fillId="0" borderId="14" xfId="0" applyNumberFormat="1" applyFont="1" applyBorder="1" applyAlignment="1" applyProtection="1">
      <alignment horizontal="center" vertical="center" wrapText="1"/>
      <protection hidden="1"/>
    </xf>
    <xf numFmtId="177" fontId="4" fillId="0" borderId="15" xfId="0" applyNumberFormat="1" applyFont="1" applyBorder="1" applyAlignment="1" applyProtection="1">
      <alignment horizontal="center" vertical="center" wrapText="1"/>
      <protection hidden="1"/>
    </xf>
    <xf numFmtId="177" fontId="4" fillId="0" borderId="16" xfId="0" applyNumberFormat="1" applyFont="1" applyBorder="1" applyAlignment="1" applyProtection="1">
      <alignment horizontal="center" vertical="center" wrapText="1"/>
      <protection hidden="1"/>
    </xf>
    <xf numFmtId="177" fontId="4" fillId="0" borderId="17" xfId="0" applyNumberFormat="1" applyFont="1" applyBorder="1" applyAlignment="1" applyProtection="1">
      <alignment horizontal="center" vertical="center" wrapText="1"/>
      <protection hidden="1"/>
    </xf>
    <xf numFmtId="177" fontId="4" fillId="0" borderId="18" xfId="0" applyNumberFormat="1" applyFont="1" applyBorder="1" applyAlignment="1" applyProtection="1">
      <alignment horizontal="center" vertical="center" wrapText="1"/>
      <protection hidden="1"/>
    </xf>
    <xf numFmtId="177" fontId="9" fillId="0" borderId="18" xfId="0" applyNumberFormat="1" applyFont="1" applyBorder="1" applyAlignment="1" applyProtection="1">
      <alignment horizontal="center" vertical="center" wrapText="1"/>
      <protection hidden="1"/>
    </xf>
    <xf numFmtId="177" fontId="4" fillId="0" borderId="19" xfId="0" applyNumberFormat="1" applyFont="1" applyBorder="1" applyAlignment="1" applyProtection="1">
      <alignment horizontal="center" vertical="center" wrapText="1"/>
      <protection hidden="1"/>
    </xf>
    <xf numFmtId="0" fontId="13" fillId="0" borderId="12" xfId="0" applyFont="1" applyBorder="1" applyAlignment="1" applyProtection="1">
      <alignment horizontal="center" vertical="center"/>
      <protection hidden="1"/>
    </xf>
    <xf numFmtId="0" fontId="13" fillId="0" borderId="14" xfId="0" applyFont="1" applyBorder="1" applyAlignment="1" applyProtection="1">
      <alignment horizontal="center" vertical="center"/>
      <protection hidden="1"/>
    </xf>
    <xf numFmtId="0" fontId="12" fillId="0" borderId="15" xfId="0" applyFont="1" applyBorder="1" applyAlignment="1" applyProtection="1">
      <alignment horizontal="center" vertical="center"/>
      <protection hidden="1"/>
    </xf>
    <xf numFmtId="0" fontId="12" fillId="0" borderId="16" xfId="0" applyFont="1" applyBorder="1" applyAlignment="1" applyProtection="1">
      <alignment horizontal="center" vertical="center"/>
      <protection hidden="1"/>
    </xf>
    <xf numFmtId="0" fontId="0" fillId="0" borderId="16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9" xfId="0" applyBorder="1" applyProtection="1">
      <protection hidden="1"/>
    </xf>
    <xf numFmtId="0" fontId="0" fillId="0" borderId="3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V235"/>
  <sheetViews>
    <sheetView zoomScaleNormal="100" workbookViewId="0">
      <selection activeCell="E19" sqref="E19"/>
    </sheetView>
  </sheetViews>
  <sheetFormatPr defaultRowHeight="14.25" x14ac:dyDescent="0.15"/>
  <cols>
    <col min="2" max="2" width="8.875" customWidth="1"/>
    <col min="3" max="3" width="18.375" bestFit="1" customWidth="1"/>
    <col min="4" max="4" width="12.25" bestFit="1" customWidth="1"/>
    <col min="5" max="5" width="15.25" customWidth="1"/>
    <col min="6" max="6" width="9.125" customWidth="1"/>
    <col min="7" max="7" width="19" customWidth="1"/>
    <col min="8" max="8" width="13.25" customWidth="1"/>
    <col min="9" max="9" width="17" customWidth="1"/>
    <col min="10" max="10" width="34" customWidth="1"/>
    <col min="11" max="11" width="16.25" customWidth="1"/>
    <col min="13" max="13" width="11.125" customWidth="1"/>
    <col min="14" max="14" width="14.5" customWidth="1"/>
    <col min="15" max="15" width="9" style="15"/>
  </cols>
  <sheetData>
    <row r="1" spans="1:22" ht="54" customHeight="1" x14ac:dyDescent="0.15">
      <c r="A1" s="17" t="s">
        <v>182</v>
      </c>
      <c r="B1" s="16" t="s">
        <v>21</v>
      </c>
      <c r="C1" s="16" t="s">
        <v>4</v>
      </c>
      <c r="D1" s="16" t="s">
        <v>5</v>
      </c>
      <c r="E1" s="16" t="s">
        <v>209</v>
      </c>
      <c r="F1" s="16" t="s">
        <v>210</v>
      </c>
      <c r="G1" s="16" t="s">
        <v>6</v>
      </c>
      <c r="H1" s="16" t="s">
        <v>7</v>
      </c>
      <c r="I1" s="16" t="s">
        <v>8</v>
      </c>
      <c r="J1" s="17" t="s">
        <v>27</v>
      </c>
      <c r="K1" s="16" t="s">
        <v>119</v>
      </c>
      <c r="M1" s="30" t="s">
        <v>169</v>
      </c>
      <c r="N1" s="31" t="s">
        <v>181</v>
      </c>
    </row>
    <row r="2" spans="1:22" x14ac:dyDescent="0.15">
      <c r="A2" s="33">
        <v>312</v>
      </c>
      <c r="B2" s="12">
        <v>400</v>
      </c>
      <c r="C2" s="11">
        <v>40</v>
      </c>
      <c r="D2" s="11">
        <v>3</v>
      </c>
      <c r="E2" s="11">
        <v>0.95</v>
      </c>
      <c r="F2" s="11">
        <f>IF(B2&gt;100,0.95,0.93)</f>
        <v>0.95</v>
      </c>
      <c r="G2" s="14" t="s">
        <v>211</v>
      </c>
      <c r="H2" s="11">
        <v>1.7</v>
      </c>
      <c r="I2" s="57">
        <f>IF(A2="",B2*E2*1000/(F2*C2*D2*6),A2*1000/(F2*C2*D2*6))</f>
        <v>456.14035087719299</v>
      </c>
      <c r="J2" s="58" t="str">
        <f>IF(K2="否",INDEX(C9:C23,MATCH("满足",E9:E23,0)),INDEX(G9:G39,MATCH("满足",I9:I39,0)))</f>
        <v>SPG12490</v>
      </c>
      <c r="K2" s="13" t="s">
        <v>48</v>
      </c>
      <c r="M2" s="32" t="str">
        <f>G2</f>
        <v>15min</v>
      </c>
      <c r="N2" s="51">
        <f>B2*1000*E2/(C2*12*0.8*F2*HLOOKUP(M2,M6:V7,2,FALSE))/D2</f>
        <v>192.90123456790124</v>
      </c>
    </row>
    <row r="3" spans="1:22" x14ac:dyDescent="0.15">
      <c r="O3"/>
    </row>
    <row r="4" spans="1:22" x14ac:dyDescent="0.15">
      <c r="O4"/>
    </row>
    <row r="5" spans="1:22" ht="36" x14ac:dyDescent="0.15">
      <c r="B5" s="16" t="s">
        <v>17</v>
      </c>
      <c r="C5" s="16" t="s">
        <v>18</v>
      </c>
      <c r="D5" s="18" t="s">
        <v>15</v>
      </c>
      <c r="E5" s="18" t="s">
        <v>16</v>
      </c>
      <c r="F5" s="16" t="s">
        <v>19</v>
      </c>
      <c r="G5" s="18" t="s">
        <v>23</v>
      </c>
      <c r="H5" s="18" t="s">
        <v>24</v>
      </c>
      <c r="I5" s="18" t="s">
        <v>25</v>
      </c>
      <c r="J5" s="18" t="s">
        <v>26</v>
      </c>
      <c r="K5" s="16" t="s">
        <v>28</v>
      </c>
      <c r="M5" s="85" t="s">
        <v>171</v>
      </c>
      <c r="N5" s="86"/>
      <c r="O5" s="86"/>
      <c r="P5" s="86"/>
      <c r="Q5" s="86"/>
      <c r="R5" s="86"/>
      <c r="S5" s="86"/>
      <c r="T5" s="86"/>
      <c r="U5" s="86"/>
      <c r="V5" s="87"/>
    </row>
    <row r="6" spans="1:22" ht="82.5" customHeight="1" x14ac:dyDescent="0.15">
      <c r="B6" s="35">
        <f>IF(A2="",B2*E2*1000/(C2*H2*6*F2),A2*1000/(F2*C2*H2*6))</f>
        <v>804.95356037151714</v>
      </c>
      <c r="C6" s="35">
        <f>IF(D2=1,"NA",B6/(D2-1))</f>
        <v>402.47678018575857</v>
      </c>
      <c r="D6" s="53">
        <f>IF(K6="是",LARGE(断路器!$A$1:$A$25,COUNTIF(断路器!$A$1:$A$25,"&gt;"&amp;B$6)),"无主开关")</f>
        <v>1000</v>
      </c>
      <c r="E6" s="53">
        <f>IF(D2=1,"无",LARGE(断路器!$A$1:$A$25,COUNTIF(断路器!$A$1:$A$25,"&gt;"&amp;C$6)))</f>
        <v>500</v>
      </c>
      <c r="F6" s="35" t="s">
        <v>20</v>
      </c>
      <c r="G6" s="35" t="str">
        <f>IF(C2&lt;=35,"3P","4P")</f>
        <v>4P</v>
      </c>
      <c r="H6" s="35" t="str">
        <f>IF(G6="3P","DC500V","DC750V")</f>
        <v>DC750V</v>
      </c>
      <c r="I6" s="35" t="str">
        <f>IF(D2=1,CONCATENATE("输入",D6,"/",G6,"-",H6,"-",F6,"-","主开关与UPS联动","-","带中性线"),IF(K6="是",CONCATENATE("输入",D6,"/",G6,"-",H6,"-","输出",D2,"*",E6,"/",G6,"-",F6,"-","主开关与UPS联动","-","带中性线"),CONCATENATE(D6,"-",H6,"-","输出",D2,"*",E6,"/",G6,"-",F6,"-","主开关与UPS联动","-","带中性线")))</f>
        <v>输入1000/4P-DC750V-输出3*500/4P-ABB-主开关与UPS联动-带中性线</v>
      </c>
      <c r="J6" s="55" t="str">
        <f>CONCATENATE(IF(D2=1,D6,E6),"A","-",C2,"节/组","-","电池型号","[",J2,"]","-","含电池连接铜排与导线")</f>
        <v>500A-40节/组-电池型号[SPG12490]-含电池连接铜排与导线</v>
      </c>
      <c r="K6" s="13" t="s">
        <v>48</v>
      </c>
      <c r="M6" s="30" t="s">
        <v>172</v>
      </c>
      <c r="N6" s="30" t="s">
        <v>170</v>
      </c>
      <c r="O6" s="30" t="s">
        <v>173</v>
      </c>
      <c r="P6" s="30" t="s">
        <v>174</v>
      </c>
      <c r="Q6" s="30" t="s">
        <v>175</v>
      </c>
      <c r="R6" s="30" t="s">
        <v>176</v>
      </c>
      <c r="S6" s="30" t="s">
        <v>177</v>
      </c>
      <c r="T6" s="30" t="s">
        <v>178</v>
      </c>
      <c r="U6" s="30" t="s">
        <v>179</v>
      </c>
      <c r="V6" s="30" t="s">
        <v>180</v>
      </c>
    </row>
    <row r="7" spans="1:22" x14ac:dyDescent="0.15">
      <c r="M7" s="30" t="s">
        <v>172</v>
      </c>
      <c r="N7" s="7">
        <v>1.8</v>
      </c>
      <c r="O7" s="7">
        <v>1.2</v>
      </c>
      <c r="P7" s="7">
        <v>0.6</v>
      </c>
      <c r="Q7" s="7">
        <v>0.45</v>
      </c>
      <c r="R7" s="7">
        <v>0.36</v>
      </c>
      <c r="S7" s="7">
        <v>0.3</v>
      </c>
      <c r="T7" s="7">
        <v>0.24</v>
      </c>
      <c r="U7" s="7">
        <v>0.18</v>
      </c>
      <c r="V7" s="7">
        <v>0.12</v>
      </c>
    </row>
    <row r="8" spans="1:22" x14ac:dyDescent="0.15">
      <c r="B8" s="17" t="s">
        <v>9</v>
      </c>
      <c r="C8" s="16" t="s">
        <v>65</v>
      </c>
      <c r="D8" s="16" t="s">
        <v>47</v>
      </c>
      <c r="E8" s="20" t="s">
        <v>49</v>
      </c>
      <c r="F8" s="19" t="s">
        <v>9</v>
      </c>
      <c r="G8" s="16" t="s">
        <v>118</v>
      </c>
      <c r="H8" s="16" t="s">
        <v>47</v>
      </c>
      <c r="I8" s="20" t="s">
        <v>49</v>
      </c>
      <c r="J8" s="22" t="s">
        <v>6</v>
      </c>
      <c r="K8" s="23" t="s">
        <v>12</v>
      </c>
    </row>
    <row r="9" spans="1:22" s="44" customFormat="1" ht="20.100000000000001" customHeight="1" x14ac:dyDescent="0.15">
      <c r="B9" s="34">
        <v>1</v>
      </c>
      <c r="C9" s="35" t="s">
        <v>63</v>
      </c>
      <c r="D9" s="36" cm="1">
        <f t="array" ref="D9">FindData(C9,$H$2,$G$2)</f>
        <v>123</v>
      </c>
      <c r="E9" s="37" t="str">
        <f>IF(OR(D9="未找到数据。",D9="未找到表头。"),"×",IF(D9&gt;=$I$2,"满足","不满足"))</f>
        <v>不满足</v>
      </c>
      <c r="F9" s="38">
        <v>1</v>
      </c>
      <c r="G9" s="35" t="s">
        <v>84</v>
      </c>
      <c r="H9" s="36" cm="1">
        <f t="array" ref="H9">FindData(G9,$H$2,$G$2)</f>
        <v>118.1</v>
      </c>
      <c r="I9" s="37" t="str">
        <f>IF(OR(H9="未找到数据。",H9="未找到表头。"),"×",IF(H9&gt;=$I$2,"满足","不满足"))</f>
        <v>不满足</v>
      </c>
      <c r="J9" s="39" t="s">
        <v>11</v>
      </c>
      <c r="K9" s="40">
        <v>1.6</v>
      </c>
      <c r="O9" s="49"/>
    </row>
    <row r="10" spans="1:22" s="44" customFormat="1" ht="20.100000000000001" customHeight="1" x14ac:dyDescent="0.15">
      <c r="B10" s="35">
        <v>2</v>
      </c>
      <c r="C10" s="35" t="s">
        <v>64</v>
      </c>
      <c r="D10" s="36" cm="1">
        <f t="array" ref="D10">FindData(C10,$H$2,$G$2)</f>
        <v>102.9</v>
      </c>
      <c r="E10" s="37" t="str">
        <f t="shared" ref="E10:E27" si="0">IF(OR(D10="未找到数据。",D10="未找到表头。"),"×",IF(D10&gt;=$I$2,"满足","不满足"))</f>
        <v>不满足</v>
      </c>
      <c r="F10" s="38">
        <v>2</v>
      </c>
      <c r="G10" s="35" t="s">
        <v>85</v>
      </c>
      <c r="H10" s="36" cm="1">
        <f t="array" ref="H10">FindData(G10,$H$2,$G$2)</f>
        <v>147.9</v>
      </c>
      <c r="I10" s="37" t="str">
        <f t="shared" ref="I10:I43" si="1">IF(OR(H10="未找到数据。",H10="未找到表头。"),"×",IF(H10&gt;=$I$2,"满足","不满足"))</f>
        <v>不满足</v>
      </c>
      <c r="J10" s="39" t="s">
        <v>50</v>
      </c>
      <c r="K10" s="40">
        <v>1.65</v>
      </c>
      <c r="O10" s="49"/>
    </row>
    <row r="11" spans="1:22" s="44" customFormat="1" ht="20.100000000000001" customHeight="1" x14ac:dyDescent="0.15">
      <c r="B11" s="35">
        <v>3</v>
      </c>
      <c r="C11" s="35" t="s">
        <v>66</v>
      </c>
      <c r="D11" s="36" cm="1">
        <f t="array" ref="D11">FindData(C11,$H$2,$G$2)</f>
        <v>135</v>
      </c>
      <c r="E11" s="37" t="str">
        <f t="shared" si="0"/>
        <v>不满足</v>
      </c>
      <c r="F11" s="38">
        <v>3</v>
      </c>
      <c r="G11" s="35" t="s">
        <v>86</v>
      </c>
      <c r="H11" s="36" cm="1">
        <f t="array" ref="H11">FindData(G11,$H$2,$G$2)</f>
        <v>170</v>
      </c>
      <c r="I11" s="37" t="str">
        <f t="shared" si="1"/>
        <v>不满足</v>
      </c>
      <c r="J11" s="39" t="s">
        <v>51</v>
      </c>
      <c r="K11" s="40">
        <v>1.67</v>
      </c>
      <c r="O11" s="49"/>
    </row>
    <row r="12" spans="1:22" s="44" customFormat="1" ht="20.100000000000001" customHeight="1" x14ac:dyDescent="0.15">
      <c r="B12" s="35">
        <v>4</v>
      </c>
      <c r="C12" s="35" t="s">
        <v>67</v>
      </c>
      <c r="D12" s="36" cm="1">
        <f t="array" ref="D12">FindData(C12,$H$2,$G$2)</f>
        <v>153</v>
      </c>
      <c r="E12" s="37" t="str">
        <f t="shared" si="0"/>
        <v>不满足</v>
      </c>
      <c r="F12" s="38">
        <v>4</v>
      </c>
      <c r="G12" s="62" t="s">
        <v>213</v>
      </c>
      <c r="H12" s="36" cm="1">
        <f t="array" ref="H12">FindData(G12,$H$2,$G$2)</f>
        <v>180.7</v>
      </c>
      <c r="I12" s="37" t="str">
        <f t="shared" si="1"/>
        <v>不满足</v>
      </c>
      <c r="J12" s="39" t="s">
        <v>52</v>
      </c>
      <c r="K12" s="40">
        <v>1.7</v>
      </c>
      <c r="M12" s="59"/>
      <c r="O12" s="49"/>
    </row>
    <row r="13" spans="1:22" s="44" customFormat="1" ht="20.100000000000001" customHeight="1" x14ac:dyDescent="0.15">
      <c r="B13" s="34">
        <v>5</v>
      </c>
      <c r="C13" s="34" t="s">
        <v>68</v>
      </c>
      <c r="D13" s="36" cm="1">
        <f t="array" ref="D13">FindData(C13,$H$2,$G$2)</f>
        <v>135.4</v>
      </c>
      <c r="E13" s="37" t="str">
        <f t="shared" si="0"/>
        <v>不满足</v>
      </c>
      <c r="F13" s="38">
        <v>5</v>
      </c>
      <c r="G13" s="34" t="s">
        <v>87</v>
      </c>
      <c r="H13" s="36" cm="1">
        <f t="array" ref="H13">FindData(G13,$H$2,$G$2)</f>
        <v>209</v>
      </c>
      <c r="I13" s="37" t="str">
        <f t="shared" si="1"/>
        <v>不满足</v>
      </c>
      <c r="J13" s="39" t="s">
        <v>53</v>
      </c>
      <c r="K13" s="40">
        <v>1.75</v>
      </c>
      <c r="O13" s="49"/>
    </row>
    <row r="14" spans="1:22" s="44" customFormat="1" ht="20.100000000000001" customHeight="1" x14ac:dyDescent="0.15">
      <c r="B14" s="34">
        <v>6</v>
      </c>
      <c r="C14" s="34" t="s">
        <v>69</v>
      </c>
      <c r="D14" s="36" cm="1">
        <f t="array" ref="D14">FindData(C14,$H$2,$G$2)</f>
        <v>196</v>
      </c>
      <c r="E14" s="37" t="str">
        <f t="shared" si="0"/>
        <v>不满足</v>
      </c>
      <c r="F14" s="38">
        <v>6</v>
      </c>
      <c r="G14" s="34" t="s">
        <v>88</v>
      </c>
      <c r="H14" s="36" cm="1">
        <f t="array" ref="H14">FindData(G14,$H$2,$G$2)</f>
        <v>206.9</v>
      </c>
      <c r="I14" s="37" t="str">
        <f t="shared" si="1"/>
        <v>不满足</v>
      </c>
      <c r="J14" s="39" t="s">
        <v>206</v>
      </c>
      <c r="K14" s="40">
        <v>1.8</v>
      </c>
      <c r="O14" s="49"/>
    </row>
    <row r="15" spans="1:22" s="44" customFormat="1" ht="20.100000000000001" customHeight="1" x14ac:dyDescent="0.15">
      <c r="B15" s="34">
        <v>7</v>
      </c>
      <c r="C15" s="34" t="s">
        <v>70</v>
      </c>
      <c r="D15" s="36" cm="1">
        <f t="array" ref="D15">FindData(C15,$H$2,$G$2)</f>
        <v>199.1</v>
      </c>
      <c r="E15" s="37" t="str">
        <f t="shared" si="0"/>
        <v>不满足</v>
      </c>
      <c r="F15" s="38">
        <v>7</v>
      </c>
      <c r="G15" s="34" t="s">
        <v>89</v>
      </c>
      <c r="H15" s="36" cm="1">
        <f t="array" ref="H15">FindData(G15,$H$2,$G$2)</f>
        <v>252</v>
      </c>
      <c r="I15" s="37" t="str">
        <f t="shared" si="1"/>
        <v>不满足</v>
      </c>
      <c r="J15" s="39" t="s">
        <v>54</v>
      </c>
      <c r="K15" s="40">
        <v>1.85</v>
      </c>
      <c r="O15" s="49"/>
    </row>
    <row r="16" spans="1:22" s="44" customFormat="1" ht="20.100000000000001" customHeight="1" x14ac:dyDescent="0.15">
      <c r="B16" s="34">
        <v>8</v>
      </c>
      <c r="C16" s="34" t="s">
        <v>71</v>
      </c>
      <c r="D16" s="36" cm="1">
        <f t="array" ref="D16">FindData(C16,$H$2,$G$2)</f>
        <v>242</v>
      </c>
      <c r="E16" s="37" t="str">
        <f t="shared" si="0"/>
        <v>不满足</v>
      </c>
      <c r="F16" s="38">
        <v>8</v>
      </c>
      <c r="G16" s="34" t="s">
        <v>90</v>
      </c>
      <c r="H16" s="36" cm="1">
        <f t="array" ref="H16">FindData(G16,$H$2,$G$2)</f>
        <v>246.5</v>
      </c>
      <c r="I16" s="37" t="str">
        <f t="shared" si="1"/>
        <v>不满足</v>
      </c>
      <c r="J16" s="39" t="s">
        <v>55</v>
      </c>
      <c r="K16" s="40"/>
      <c r="O16" s="49"/>
    </row>
    <row r="17" spans="2:15" s="44" customFormat="1" ht="20.100000000000001" customHeight="1" x14ac:dyDescent="0.15">
      <c r="B17" s="34">
        <v>9</v>
      </c>
      <c r="C17" s="34" t="s">
        <v>72</v>
      </c>
      <c r="D17" s="36" cm="1">
        <f t="array" ref="D17">FindData(C17,$H$2,$G$2)</f>
        <v>198.1</v>
      </c>
      <c r="E17" s="37" t="str">
        <f t="shared" si="0"/>
        <v>不满足</v>
      </c>
      <c r="F17" s="38">
        <v>9</v>
      </c>
      <c r="G17" s="34" t="s">
        <v>91</v>
      </c>
      <c r="H17" s="36" cm="1">
        <f t="array" ref="H17">FindData(G17,$H$2,$G$2)</f>
        <v>296</v>
      </c>
      <c r="I17" s="37" t="str">
        <f t="shared" si="1"/>
        <v>不满足</v>
      </c>
      <c r="J17" s="39" t="s">
        <v>56</v>
      </c>
      <c r="K17" s="40"/>
      <c r="O17" s="49"/>
    </row>
    <row r="18" spans="2:15" s="44" customFormat="1" ht="20.100000000000001" customHeight="1" x14ac:dyDescent="0.15">
      <c r="B18" s="34">
        <v>10</v>
      </c>
      <c r="C18" s="34" t="s">
        <v>73</v>
      </c>
      <c r="D18" s="36" cm="1">
        <f t="array" ref="D18">FindData(C18,$H$2,$G$2)</f>
        <v>302.39999999999998</v>
      </c>
      <c r="E18" s="37" t="str">
        <f t="shared" si="0"/>
        <v>不满足</v>
      </c>
      <c r="F18" s="38">
        <v>10</v>
      </c>
      <c r="G18" s="34" t="s">
        <v>92</v>
      </c>
      <c r="H18" s="36" cm="1">
        <f t="array" ref="H18">FindData(G18,$H$2,$G$2)</f>
        <v>291</v>
      </c>
      <c r="I18" s="37" t="str">
        <f t="shared" si="1"/>
        <v>不满足</v>
      </c>
      <c r="J18" s="39" t="s">
        <v>57</v>
      </c>
      <c r="K18" s="40"/>
      <c r="O18" s="49"/>
    </row>
    <row r="19" spans="2:15" s="44" customFormat="1" ht="20.100000000000001" customHeight="1" x14ac:dyDescent="0.15">
      <c r="B19" s="34">
        <v>11</v>
      </c>
      <c r="C19" s="34" t="s">
        <v>74</v>
      </c>
      <c r="D19" s="36" cm="1">
        <f t="array" ref="D19">FindData(C19,$H$2,$G$2)</f>
        <v>270.89999999999998</v>
      </c>
      <c r="E19" s="37" t="str">
        <f t="shared" si="0"/>
        <v>不满足</v>
      </c>
      <c r="F19" s="38">
        <v>11</v>
      </c>
      <c r="G19" s="34" t="s">
        <v>93</v>
      </c>
      <c r="H19" s="36" cm="1">
        <f t="array" ref="H19">FindData(G19,$H$2,$G$2)</f>
        <v>314</v>
      </c>
      <c r="I19" s="37" t="str">
        <f t="shared" si="1"/>
        <v>不满足</v>
      </c>
      <c r="J19" s="39" t="s">
        <v>58</v>
      </c>
      <c r="K19" s="40"/>
      <c r="O19" s="49"/>
    </row>
    <row r="20" spans="2:15" s="44" customFormat="1" ht="20.100000000000001" customHeight="1" x14ac:dyDescent="0.15">
      <c r="B20" s="34">
        <v>12</v>
      </c>
      <c r="C20" s="34" t="s">
        <v>75</v>
      </c>
      <c r="D20" s="36" cm="1">
        <f t="array" ref="D20">FindData(C20,$H$2,$G$2)</f>
        <v>357</v>
      </c>
      <c r="E20" s="37" t="str">
        <f t="shared" si="0"/>
        <v>不满足</v>
      </c>
      <c r="F20" s="38">
        <v>12</v>
      </c>
      <c r="G20" s="34" t="s">
        <v>94</v>
      </c>
      <c r="H20" s="36" cm="1">
        <f t="array" ref="H20">FindData(G20,$H$2,$G$2)</f>
        <v>315</v>
      </c>
      <c r="I20" s="37" t="str">
        <f t="shared" si="1"/>
        <v>不满足</v>
      </c>
      <c r="J20" s="39" t="s">
        <v>59</v>
      </c>
      <c r="K20" s="40"/>
      <c r="O20" s="49"/>
    </row>
    <row r="21" spans="2:15" s="44" customFormat="1" ht="20.100000000000001" customHeight="1" x14ac:dyDescent="0.15">
      <c r="B21" s="34">
        <v>13</v>
      </c>
      <c r="C21" s="34" t="s">
        <v>76</v>
      </c>
      <c r="D21" s="36" cm="1">
        <f t="array" ref="D21">FindData(C21,$H$2,$G$2)</f>
        <v>325.10000000000002</v>
      </c>
      <c r="E21" s="37" t="str">
        <f t="shared" si="0"/>
        <v>不满足</v>
      </c>
      <c r="F21" s="38">
        <v>13</v>
      </c>
      <c r="G21" s="34" t="s">
        <v>95</v>
      </c>
      <c r="H21" s="36" cm="1">
        <f t="array" ref="H21">FindData(G21,$H$2,$G$2)</f>
        <v>330</v>
      </c>
      <c r="I21" s="37" t="str">
        <f t="shared" si="1"/>
        <v>不满足</v>
      </c>
      <c r="J21" s="39" t="s">
        <v>60</v>
      </c>
      <c r="K21" s="40"/>
      <c r="O21" s="49"/>
    </row>
    <row r="22" spans="2:15" s="44" customFormat="1" ht="20.100000000000001" customHeight="1" x14ac:dyDescent="0.15">
      <c r="B22" s="34">
        <v>14</v>
      </c>
      <c r="C22" s="34" t="s">
        <v>77</v>
      </c>
      <c r="D22" s="36" cm="1">
        <f t="array" ref="D22">FindData(C22,$H$2,$G$2)</f>
        <v>424.1</v>
      </c>
      <c r="E22" s="37" t="str">
        <f t="shared" si="0"/>
        <v>不满足</v>
      </c>
      <c r="F22" s="38">
        <v>14</v>
      </c>
      <c r="G22" s="34" t="s">
        <v>96</v>
      </c>
      <c r="H22" s="36" cm="1">
        <f t="array" ref="H22">FindData(G22,$H$2,$G$2)</f>
        <v>354.5</v>
      </c>
      <c r="I22" s="37" t="str">
        <f t="shared" si="1"/>
        <v>不满足</v>
      </c>
      <c r="J22" s="39" t="s">
        <v>61</v>
      </c>
      <c r="K22" s="40"/>
      <c r="O22" s="49"/>
    </row>
    <row r="23" spans="2:15" s="44" customFormat="1" ht="20.100000000000001" customHeight="1" x14ac:dyDescent="0.15">
      <c r="B23" s="34">
        <v>15</v>
      </c>
      <c r="C23" s="34" t="s">
        <v>78</v>
      </c>
      <c r="D23" s="36" cm="1">
        <f t="array" ref="D23">FindData(C23,$H$2,$G$2)</f>
        <v>406.3</v>
      </c>
      <c r="E23" s="37" t="str">
        <f t="shared" si="0"/>
        <v>不满足</v>
      </c>
      <c r="F23" s="38">
        <v>15</v>
      </c>
      <c r="G23" s="41" t="s">
        <v>97</v>
      </c>
      <c r="H23" s="36" cm="1">
        <f t="array" ref="H23">FindData(G23,$H$2,$G$2)</f>
        <v>385</v>
      </c>
      <c r="I23" s="37" t="str">
        <f t="shared" si="1"/>
        <v>不满足</v>
      </c>
      <c r="J23" s="39" t="s">
        <v>62</v>
      </c>
      <c r="K23" s="42"/>
      <c r="O23" s="49"/>
    </row>
    <row r="24" spans="2:15" s="44" customFormat="1" ht="20.100000000000001" customHeight="1" x14ac:dyDescent="0.15">
      <c r="B24" s="34">
        <v>16</v>
      </c>
      <c r="C24" s="34" t="s">
        <v>79</v>
      </c>
      <c r="D24" s="36" cm="1">
        <f t="array" ref="D24">FindData(C24,$H$2,$G$2)</f>
        <v>548</v>
      </c>
      <c r="E24" s="37" t="str">
        <f t="shared" si="0"/>
        <v>满足</v>
      </c>
      <c r="F24" s="38">
        <v>16</v>
      </c>
      <c r="G24" s="41" t="s">
        <v>98</v>
      </c>
      <c r="H24" s="36" cm="1">
        <f t="array" ref="H24">FindData(G24,$H$2,$G$2)</f>
        <v>393.9</v>
      </c>
      <c r="I24" s="37" t="str">
        <f t="shared" si="1"/>
        <v>不满足</v>
      </c>
      <c r="J24" s="39" t="s">
        <v>83</v>
      </c>
      <c r="K24" s="42"/>
      <c r="O24" s="49"/>
    </row>
    <row r="25" spans="2:15" s="44" customFormat="1" ht="20.100000000000001" customHeight="1" x14ac:dyDescent="0.15">
      <c r="B25" s="34">
        <v>17</v>
      </c>
      <c r="C25" s="34" t="s">
        <v>80</v>
      </c>
      <c r="D25" s="36" cm="1">
        <f t="array" ref="D25">FindData(C25,$H$2,$G$2)</f>
        <v>597.4</v>
      </c>
      <c r="E25" s="37" t="str">
        <f t="shared" si="0"/>
        <v>满足</v>
      </c>
      <c r="F25" s="38">
        <v>17</v>
      </c>
      <c r="G25" s="41" t="s">
        <v>99</v>
      </c>
      <c r="H25" s="36" cm="1">
        <f t="array" ref="H25">FindData(G25,$H$2,$G$2)</f>
        <v>413.3</v>
      </c>
      <c r="I25" s="37" t="str">
        <f t="shared" si="1"/>
        <v>不满足</v>
      </c>
      <c r="J25" s="43"/>
      <c r="K25" s="42"/>
      <c r="O25" s="49"/>
    </row>
    <row r="26" spans="2:15" s="44" customFormat="1" ht="20.100000000000001" customHeight="1" x14ac:dyDescent="0.15">
      <c r="B26" s="34">
        <v>18</v>
      </c>
      <c r="C26" s="34" t="s">
        <v>81</v>
      </c>
      <c r="D26" s="36" cm="1">
        <f t="array" ref="D26">FindData(C26,$H$2,$G$2)</f>
        <v>653</v>
      </c>
      <c r="E26" s="37" t="str">
        <f t="shared" si="0"/>
        <v>满足</v>
      </c>
      <c r="F26" s="38">
        <v>18</v>
      </c>
      <c r="G26" s="41" t="s">
        <v>100</v>
      </c>
      <c r="H26" s="36" cm="1">
        <f t="array" ref="H26">FindData(G26,$H$2,$G$2)</f>
        <v>431</v>
      </c>
      <c r="I26" s="37" t="str">
        <f t="shared" si="1"/>
        <v>不满足</v>
      </c>
      <c r="J26" s="43"/>
      <c r="K26" s="42"/>
      <c r="O26" s="49"/>
    </row>
    <row r="27" spans="2:15" s="44" customFormat="1" ht="20.100000000000001" customHeight="1" x14ac:dyDescent="0.15">
      <c r="B27" s="34">
        <v>19</v>
      </c>
      <c r="C27" s="34" t="s">
        <v>82</v>
      </c>
      <c r="D27" s="36" cm="1">
        <f t="array" ref="D27">FindData(C27,$H$2,$G$2)</f>
        <v>677.2</v>
      </c>
      <c r="E27" s="37" t="str">
        <f t="shared" si="0"/>
        <v>满足</v>
      </c>
      <c r="F27" s="38">
        <v>19</v>
      </c>
      <c r="G27" s="41" t="s">
        <v>101</v>
      </c>
      <c r="H27" s="36" cm="1">
        <f t="array" ref="H27">FindData(G27,$H$2,$G$2)</f>
        <v>474</v>
      </c>
      <c r="I27" s="37" t="str">
        <f t="shared" si="1"/>
        <v>满足</v>
      </c>
      <c r="J27" s="43"/>
      <c r="K27" s="42"/>
      <c r="O27" s="49"/>
    </row>
    <row r="28" spans="2:15" s="44" customFormat="1" ht="20.100000000000001" customHeight="1" x14ac:dyDescent="0.15">
      <c r="E28" s="45"/>
      <c r="F28" s="38">
        <v>20</v>
      </c>
      <c r="G28" s="41" t="s">
        <v>102</v>
      </c>
      <c r="H28" s="36" cm="1">
        <f t="array" ref="H28">FindData(G28,$H$2,$G$2)</f>
        <v>476.7</v>
      </c>
      <c r="I28" s="37" t="str">
        <f t="shared" si="1"/>
        <v>满足</v>
      </c>
      <c r="O28" s="49"/>
    </row>
    <row r="29" spans="2:15" s="44" customFormat="1" ht="20.100000000000001" customHeight="1" x14ac:dyDescent="0.15">
      <c r="E29" s="46"/>
      <c r="F29" s="38">
        <v>21</v>
      </c>
      <c r="G29" s="41" t="s">
        <v>103</v>
      </c>
      <c r="H29" s="36" cm="1">
        <f t="array" ref="H29">FindData(G29,$H$2,$G$2)</f>
        <v>489</v>
      </c>
      <c r="I29" s="37" t="str">
        <f t="shared" si="1"/>
        <v>满足</v>
      </c>
      <c r="O29" s="49"/>
    </row>
    <row r="30" spans="2:15" s="44" customFormat="1" ht="20.100000000000001" customHeight="1" x14ac:dyDescent="0.15">
      <c r="E30" s="46"/>
      <c r="F30" s="38">
        <v>22</v>
      </c>
      <c r="G30" s="41" t="s">
        <v>104</v>
      </c>
      <c r="H30" s="36" cm="1">
        <f t="array" ref="H30">FindData(G30,$H$2,$G$2)</f>
        <v>500.2</v>
      </c>
      <c r="I30" s="37" t="str">
        <f t="shared" si="1"/>
        <v>满足</v>
      </c>
      <c r="O30" s="49"/>
    </row>
    <row r="31" spans="2:15" s="44" customFormat="1" ht="20.100000000000001" customHeight="1" x14ac:dyDescent="0.15">
      <c r="E31" s="46"/>
      <c r="F31" s="38">
        <v>23</v>
      </c>
      <c r="G31" s="41" t="s">
        <v>105</v>
      </c>
      <c r="H31" s="36" cm="1">
        <f t="array" ref="H31">FindData(G31,$H$2,$G$2)</f>
        <v>550</v>
      </c>
      <c r="I31" s="37" t="str">
        <f t="shared" si="1"/>
        <v>满足</v>
      </c>
      <c r="O31" s="49"/>
    </row>
    <row r="32" spans="2:15" s="44" customFormat="1" ht="20.100000000000001" customHeight="1" x14ac:dyDescent="0.15">
      <c r="E32" s="46"/>
      <c r="F32" s="38">
        <v>24</v>
      </c>
      <c r="G32" s="41" t="s">
        <v>106</v>
      </c>
      <c r="H32" s="36" cm="1">
        <f t="array" ref="H32">FindData(G32,$H$2,$G$2)</f>
        <v>582</v>
      </c>
      <c r="I32" s="37" t="str">
        <f t="shared" si="1"/>
        <v>满足</v>
      </c>
      <c r="O32" s="49"/>
    </row>
    <row r="33" spans="5:15" s="44" customFormat="1" ht="20.100000000000001" customHeight="1" x14ac:dyDescent="0.15">
      <c r="E33" s="46"/>
      <c r="F33" s="38">
        <v>25</v>
      </c>
      <c r="G33" s="41" t="s">
        <v>107</v>
      </c>
      <c r="H33" s="36" cm="1">
        <f t="array" ref="H33">FindData(G33,$H$2,$G$2)</f>
        <v>595.29999999999995</v>
      </c>
      <c r="I33" s="37" t="str">
        <f t="shared" si="1"/>
        <v>满足</v>
      </c>
      <c r="O33" s="49"/>
    </row>
    <row r="34" spans="5:15" s="44" customFormat="1" ht="20.100000000000001" customHeight="1" x14ac:dyDescent="0.15">
      <c r="E34" s="46"/>
      <c r="F34" s="38">
        <v>26</v>
      </c>
      <c r="G34" s="41" t="s">
        <v>108</v>
      </c>
      <c r="H34" s="36" cm="1">
        <f t="array" ref="H34">FindData(G34,$H$2,$G$2)</f>
        <v>639.6</v>
      </c>
      <c r="I34" s="37" t="str">
        <f t="shared" si="1"/>
        <v>满足</v>
      </c>
      <c r="O34" s="49"/>
    </row>
    <row r="35" spans="5:15" s="44" customFormat="1" ht="20.100000000000001" customHeight="1" x14ac:dyDescent="0.15">
      <c r="E35" s="46"/>
      <c r="F35" s="38">
        <v>27</v>
      </c>
      <c r="G35" s="41" t="s">
        <v>109</v>
      </c>
      <c r="H35" s="36" cm="1">
        <f t="array" ref="H35">FindData(G35,$H$2,$G$2)</f>
        <v>640</v>
      </c>
      <c r="I35" s="37" t="str">
        <f t="shared" si="1"/>
        <v>满足</v>
      </c>
      <c r="O35" s="49"/>
    </row>
    <row r="36" spans="5:15" s="44" customFormat="1" ht="20.100000000000001" customHeight="1" x14ac:dyDescent="0.15">
      <c r="E36" s="46"/>
      <c r="F36" s="38">
        <v>28</v>
      </c>
      <c r="G36" s="41" t="s">
        <v>110</v>
      </c>
      <c r="H36" s="36" cm="1">
        <f t="array" ref="H36">FindData(G36,$H$2,$G$2)</f>
        <v>688.8</v>
      </c>
      <c r="I36" s="37" t="str">
        <f t="shared" si="1"/>
        <v>满足</v>
      </c>
      <c r="O36" s="49"/>
    </row>
    <row r="37" spans="5:15" s="44" customFormat="1" ht="20.100000000000001" customHeight="1" x14ac:dyDescent="0.15">
      <c r="E37" s="46"/>
      <c r="F37" s="38">
        <v>29</v>
      </c>
      <c r="G37" s="41" t="s">
        <v>111</v>
      </c>
      <c r="H37" s="36" cm="1">
        <f t="array" ref="H37">FindData(G37,$H$2,$G$2)</f>
        <v>699</v>
      </c>
      <c r="I37" s="37" t="str">
        <f t="shared" si="1"/>
        <v>满足</v>
      </c>
      <c r="O37" s="49"/>
    </row>
    <row r="38" spans="5:15" s="44" customFormat="1" ht="20.100000000000001" customHeight="1" x14ac:dyDescent="0.15">
      <c r="E38" s="46"/>
      <c r="F38" s="38">
        <v>30</v>
      </c>
      <c r="G38" s="41" t="s">
        <v>112</v>
      </c>
      <c r="H38" s="36" cm="1">
        <f t="array" ref="H38">FindData(G38,$H$2,$G$2)</f>
        <v>720</v>
      </c>
      <c r="I38" s="37" t="str">
        <f t="shared" si="1"/>
        <v>满足</v>
      </c>
      <c r="O38" s="49"/>
    </row>
    <row r="39" spans="5:15" s="44" customFormat="1" ht="20.100000000000001" customHeight="1" x14ac:dyDescent="0.15">
      <c r="E39" s="46"/>
      <c r="F39" s="38">
        <v>31</v>
      </c>
      <c r="G39" s="41" t="s">
        <v>113</v>
      </c>
      <c r="H39" s="36" cm="1">
        <f t="array" ref="H39">FindData(G39,$H$2,$G$2)</f>
        <v>752</v>
      </c>
      <c r="I39" s="37" t="str">
        <f t="shared" si="1"/>
        <v>满足</v>
      </c>
      <c r="O39" s="49"/>
    </row>
    <row r="40" spans="5:15" s="44" customFormat="1" ht="20.100000000000001" customHeight="1" x14ac:dyDescent="0.15">
      <c r="E40" s="46"/>
      <c r="F40" s="38">
        <v>32</v>
      </c>
      <c r="G40" s="41" t="s">
        <v>114</v>
      </c>
      <c r="H40" s="36" cm="1">
        <f t="array" ref="H40">FindData(G40,$H$2,$G$2)</f>
        <v>786</v>
      </c>
      <c r="I40" s="37" t="str">
        <f t="shared" si="1"/>
        <v>满足</v>
      </c>
      <c r="O40" s="49"/>
    </row>
    <row r="41" spans="5:15" s="44" customFormat="1" ht="20.100000000000001" customHeight="1" x14ac:dyDescent="0.15">
      <c r="E41" s="46"/>
      <c r="F41" s="38">
        <v>33</v>
      </c>
      <c r="G41" s="41" t="s">
        <v>115</v>
      </c>
      <c r="H41" s="36" cm="1">
        <f t="array" ref="H41">FindData(G41,$H$2,$G$2)</f>
        <v>768</v>
      </c>
      <c r="I41" s="37" t="str">
        <f t="shared" si="1"/>
        <v>满足</v>
      </c>
      <c r="O41" s="49"/>
    </row>
    <row r="42" spans="5:15" s="44" customFormat="1" ht="20.100000000000001" customHeight="1" x14ac:dyDescent="0.15">
      <c r="E42" s="46"/>
      <c r="F42" s="38">
        <v>34</v>
      </c>
      <c r="G42" s="41" t="s">
        <v>116</v>
      </c>
      <c r="H42" s="36" cm="1">
        <f t="array" ref="H42">FindData(G42,$H$2,$G$2)</f>
        <v>853</v>
      </c>
      <c r="I42" s="37" t="str">
        <f t="shared" si="1"/>
        <v>满足</v>
      </c>
      <c r="O42" s="49"/>
    </row>
    <row r="43" spans="5:15" s="44" customFormat="1" ht="20.100000000000001" customHeight="1" x14ac:dyDescent="0.15">
      <c r="E43" s="46"/>
      <c r="F43" s="38">
        <v>35</v>
      </c>
      <c r="G43" s="41" t="s">
        <v>117</v>
      </c>
      <c r="H43" s="36" cm="1">
        <f t="array" ref="H43">FindData(G43,$H$2,$G$2)</f>
        <v>875.8</v>
      </c>
      <c r="I43" s="37" t="str">
        <f t="shared" si="1"/>
        <v>满足</v>
      </c>
      <c r="O43" s="49"/>
    </row>
    <row r="44" spans="5:15" ht="20.100000000000001" customHeight="1" x14ac:dyDescent="0.15">
      <c r="G44" s="21"/>
    </row>
    <row r="45" spans="5:15" ht="20.100000000000001" customHeight="1" x14ac:dyDescent="0.15">
      <c r="G45" s="21"/>
    </row>
    <row r="46" spans="5:15" ht="20.100000000000001" customHeight="1" x14ac:dyDescent="0.15">
      <c r="G46" s="21"/>
    </row>
    <row r="47" spans="5:15" ht="20.100000000000001" customHeight="1" x14ac:dyDescent="0.15">
      <c r="G47" s="21"/>
    </row>
    <row r="48" spans="5:15" ht="20.100000000000001" customHeight="1" x14ac:dyDescent="0.15">
      <c r="G48" s="21"/>
    </row>
    <row r="49" spans="7:7" ht="20.100000000000001" customHeight="1" x14ac:dyDescent="0.15">
      <c r="G49" s="21"/>
    </row>
    <row r="50" spans="7:7" ht="20.100000000000001" customHeight="1" x14ac:dyDescent="0.15">
      <c r="G50" s="21"/>
    </row>
    <row r="51" spans="7:7" ht="20.100000000000001" customHeight="1" x14ac:dyDescent="0.15">
      <c r="G51" s="21"/>
    </row>
    <row r="52" spans="7:7" ht="20.100000000000001" customHeight="1" x14ac:dyDescent="0.15">
      <c r="G52" s="21"/>
    </row>
    <row r="53" spans="7:7" ht="20.100000000000001" customHeight="1" x14ac:dyDescent="0.15">
      <c r="G53" s="21"/>
    </row>
    <row r="54" spans="7:7" ht="20.100000000000001" customHeight="1" x14ac:dyDescent="0.15">
      <c r="G54" s="21"/>
    </row>
    <row r="55" spans="7:7" ht="20.100000000000001" customHeight="1" x14ac:dyDescent="0.15">
      <c r="G55" s="21"/>
    </row>
    <row r="56" spans="7:7" ht="20.100000000000001" customHeight="1" x14ac:dyDescent="0.15">
      <c r="G56" s="21"/>
    </row>
    <row r="57" spans="7:7" ht="20.100000000000001" customHeight="1" x14ac:dyDescent="0.15">
      <c r="G57" s="21"/>
    </row>
    <row r="58" spans="7:7" ht="20.100000000000001" customHeight="1" x14ac:dyDescent="0.15">
      <c r="G58" s="21"/>
    </row>
    <row r="59" spans="7:7" ht="20.100000000000001" customHeight="1" x14ac:dyDescent="0.15">
      <c r="G59" s="21"/>
    </row>
    <row r="60" spans="7:7" ht="20.100000000000001" customHeight="1" x14ac:dyDescent="0.15">
      <c r="G60" s="21"/>
    </row>
    <row r="61" spans="7:7" ht="20.100000000000001" customHeight="1" x14ac:dyDescent="0.15">
      <c r="G61" s="21"/>
    </row>
    <row r="62" spans="7:7" ht="20.100000000000001" customHeight="1" x14ac:dyDescent="0.15">
      <c r="G62" s="21"/>
    </row>
    <row r="63" spans="7:7" ht="20.100000000000001" customHeight="1" x14ac:dyDescent="0.15">
      <c r="G63" s="21"/>
    </row>
    <row r="64" spans="7:7" ht="20.100000000000001" customHeight="1" x14ac:dyDescent="0.15">
      <c r="G64" s="21"/>
    </row>
    <row r="65" spans="7:7" ht="20.100000000000001" customHeight="1" x14ac:dyDescent="0.15">
      <c r="G65" s="21"/>
    </row>
    <row r="66" spans="7:7" ht="20.100000000000001" customHeight="1" x14ac:dyDescent="0.15">
      <c r="G66" s="21"/>
    </row>
    <row r="67" spans="7:7" ht="20.100000000000001" customHeight="1" x14ac:dyDescent="0.15">
      <c r="G67" s="21"/>
    </row>
    <row r="68" spans="7:7" ht="20.100000000000001" customHeight="1" x14ac:dyDescent="0.15">
      <c r="G68" s="21"/>
    </row>
    <row r="69" spans="7:7" ht="20.100000000000001" customHeight="1" x14ac:dyDescent="0.15">
      <c r="G69" s="21"/>
    </row>
    <row r="70" spans="7:7" ht="20.100000000000001" customHeight="1" x14ac:dyDescent="0.15">
      <c r="G70" s="21"/>
    </row>
    <row r="71" spans="7:7" ht="20.100000000000001" customHeight="1" x14ac:dyDescent="0.15">
      <c r="G71" s="21"/>
    </row>
    <row r="72" spans="7:7" ht="20.100000000000001" customHeight="1" x14ac:dyDescent="0.15">
      <c r="G72" s="21"/>
    </row>
    <row r="73" spans="7:7" ht="20.100000000000001" customHeight="1" x14ac:dyDescent="0.15">
      <c r="G73" s="21"/>
    </row>
    <row r="74" spans="7:7" ht="20.100000000000001" customHeight="1" x14ac:dyDescent="0.15">
      <c r="G74" s="21"/>
    </row>
    <row r="75" spans="7:7" ht="20.100000000000001" customHeight="1" x14ac:dyDescent="0.15">
      <c r="G75" s="21"/>
    </row>
    <row r="76" spans="7:7" ht="20.100000000000001" customHeight="1" x14ac:dyDescent="0.15">
      <c r="G76" s="21"/>
    </row>
    <row r="77" spans="7:7" ht="20.100000000000001" customHeight="1" x14ac:dyDescent="0.15">
      <c r="G77" s="15"/>
    </row>
    <row r="78" spans="7:7" ht="20.100000000000001" customHeight="1" x14ac:dyDescent="0.15">
      <c r="G78" s="15"/>
    </row>
    <row r="79" spans="7:7" ht="20.100000000000001" customHeight="1" x14ac:dyDescent="0.15">
      <c r="G79" s="15"/>
    </row>
    <row r="80" spans="7:7" ht="20.100000000000001" customHeight="1" x14ac:dyDescent="0.15">
      <c r="G80" s="15"/>
    </row>
    <row r="81" spans="7:7" ht="20.100000000000001" customHeight="1" x14ac:dyDescent="0.15">
      <c r="G81" s="15"/>
    </row>
    <row r="82" spans="7:7" ht="20.100000000000001" customHeight="1" x14ac:dyDescent="0.15">
      <c r="G82" s="15"/>
    </row>
    <row r="83" spans="7:7" ht="20.100000000000001" customHeight="1" x14ac:dyDescent="0.15">
      <c r="G83" s="15"/>
    </row>
    <row r="84" spans="7:7" ht="20.100000000000001" customHeight="1" x14ac:dyDescent="0.15">
      <c r="G84" s="15"/>
    </row>
    <row r="85" spans="7:7" ht="20.100000000000001" customHeight="1" x14ac:dyDescent="0.15">
      <c r="G85" s="15"/>
    </row>
    <row r="86" spans="7:7" ht="20.100000000000001" customHeight="1" x14ac:dyDescent="0.15">
      <c r="G86" s="15"/>
    </row>
    <row r="87" spans="7:7" ht="20.100000000000001" customHeight="1" x14ac:dyDescent="0.15">
      <c r="G87" s="15"/>
    </row>
    <row r="88" spans="7:7" ht="20.100000000000001" customHeight="1" x14ac:dyDescent="0.15">
      <c r="G88" s="15"/>
    </row>
    <row r="89" spans="7:7" ht="20.100000000000001" customHeight="1" x14ac:dyDescent="0.15">
      <c r="G89" s="15"/>
    </row>
    <row r="90" spans="7:7" ht="20.100000000000001" customHeight="1" x14ac:dyDescent="0.15">
      <c r="G90" s="15"/>
    </row>
    <row r="91" spans="7:7" ht="20.100000000000001" customHeight="1" x14ac:dyDescent="0.15">
      <c r="G91" s="15"/>
    </row>
    <row r="92" spans="7:7" ht="20.100000000000001" customHeight="1" x14ac:dyDescent="0.15">
      <c r="G92" s="15"/>
    </row>
    <row r="93" spans="7:7" ht="20.100000000000001" customHeight="1" x14ac:dyDescent="0.15">
      <c r="G93" s="15"/>
    </row>
    <row r="94" spans="7:7" ht="20.100000000000001" customHeight="1" x14ac:dyDescent="0.15">
      <c r="G94" s="15"/>
    </row>
    <row r="95" spans="7:7" x14ac:dyDescent="0.15">
      <c r="G95" s="15"/>
    </row>
    <row r="96" spans="7:7" x14ac:dyDescent="0.15">
      <c r="G96" s="15"/>
    </row>
    <row r="97" spans="7:7" x14ac:dyDescent="0.15">
      <c r="G97" s="15"/>
    </row>
    <row r="98" spans="7:7" x14ac:dyDescent="0.15">
      <c r="G98" s="15"/>
    </row>
    <row r="99" spans="7:7" x14ac:dyDescent="0.15">
      <c r="G99" s="15"/>
    </row>
    <row r="100" spans="7:7" x14ac:dyDescent="0.15">
      <c r="G100" s="15"/>
    </row>
    <row r="101" spans="7:7" x14ac:dyDescent="0.15">
      <c r="G101" s="15"/>
    </row>
    <row r="102" spans="7:7" x14ac:dyDescent="0.15">
      <c r="G102" s="15"/>
    </row>
    <row r="103" spans="7:7" x14ac:dyDescent="0.15">
      <c r="G103" s="15"/>
    </row>
    <row r="104" spans="7:7" x14ac:dyDescent="0.15">
      <c r="G104" s="15"/>
    </row>
    <row r="105" spans="7:7" x14ac:dyDescent="0.15">
      <c r="G105" s="15"/>
    </row>
    <row r="106" spans="7:7" x14ac:dyDescent="0.15">
      <c r="G106" s="15"/>
    </row>
    <row r="107" spans="7:7" x14ac:dyDescent="0.15">
      <c r="G107" s="15"/>
    </row>
    <row r="108" spans="7:7" x14ac:dyDescent="0.15">
      <c r="G108" s="15"/>
    </row>
    <row r="109" spans="7:7" x14ac:dyDescent="0.15">
      <c r="G109" s="15"/>
    </row>
    <row r="110" spans="7:7" x14ac:dyDescent="0.15">
      <c r="G110" s="15"/>
    </row>
    <row r="111" spans="7:7" x14ac:dyDescent="0.15">
      <c r="G111" s="15"/>
    </row>
    <row r="112" spans="7:7" x14ac:dyDescent="0.15">
      <c r="G112" s="15"/>
    </row>
    <row r="113" spans="7:7" x14ac:dyDescent="0.15">
      <c r="G113" s="15"/>
    </row>
    <row r="114" spans="7:7" x14ac:dyDescent="0.15">
      <c r="G114" s="15"/>
    </row>
    <row r="115" spans="7:7" x14ac:dyDescent="0.15">
      <c r="G115" s="15"/>
    </row>
    <row r="116" spans="7:7" x14ac:dyDescent="0.15">
      <c r="G116" s="15"/>
    </row>
    <row r="117" spans="7:7" x14ac:dyDescent="0.15">
      <c r="G117" s="15"/>
    </row>
    <row r="118" spans="7:7" x14ac:dyDescent="0.15">
      <c r="G118" s="15"/>
    </row>
    <row r="119" spans="7:7" x14ac:dyDescent="0.15">
      <c r="G119" s="15"/>
    </row>
    <row r="120" spans="7:7" x14ac:dyDescent="0.15">
      <c r="G120" s="15"/>
    </row>
    <row r="121" spans="7:7" x14ac:dyDescent="0.15">
      <c r="G121" s="15"/>
    </row>
    <row r="122" spans="7:7" x14ac:dyDescent="0.15">
      <c r="G122" s="15"/>
    </row>
    <row r="123" spans="7:7" x14ac:dyDescent="0.15">
      <c r="G123" s="15"/>
    </row>
    <row r="124" spans="7:7" x14ac:dyDescent="0.15">
      <c r="G124" s="15"/>
    </row>
    <row r="125" spans="7:7" x14ac:dyDescent="0.15">
      <c r="G125" s="15"/>
    </row>
    <row r="126" spans="7:7" x14ac:dyDescent="0.15">
      <c r="G126" s="15"/>
    </row>
    <row r="127" spans="7:7" x14ac:dyDescent="0.15">
      <c r="G127" s="15"/>
    </row>
    <row r="128" spans="7:7" x14ac:dyDescent="0.15">
      <c r="G128" s="15"/>
    </row>
    <row r="129" spans="7:7" x14ac:dyDescent="0.15">
      <c r="G129" s="15"/>
    </row>
    <row r="130" spans="7:7" x14ac:dyDescent="0.15">
      <c r="G130" s="15"/>
    </row>
    <row r="131" spans="7:7" x14ac:dyDescent="0.15">
      <c r="G131" s="15"/>
    </row>
    <row r="132" spans="7:7" x14ac:dyDescent="0.15">
      <c r="G132" s="15"/>
    </row>
    <row r="133" spans="7:7" x14ac:dyDescent="0.15">
      <c r="G133" s="15"/>
    </row>
    <row r="134" spans="7:7" x14ac:dyDescent="0.15">
      <c r="G134" s="15"/>
    </row>
    <row r="135" spans="7:7" x14ac:dyDescent="0.15">
      <c r="G135" s="15"/>
    </row>
    <row r="136" spans="7:7" x14ac:dyDescent="0.15">
      <c r="G136" s="15"/>
    </row>
    <row r="137" spans="7:7" x14ac:dyDescent="0.15">
      <c r="G137" s="15"/>
    </row>
    <row r="138" spans="7:7" x14ac:dyDescent="0.15">
      <c r="G138" s="15"/>
    </row>
    <row r="139" spans="7:7" x14ac:dyDescent="0.15">
      <c r="G139" s="15"/>
    </row>
    <row r="140" spans="7:7" x14ac:dyDescent="0.15">
      <c r="G140" s="15"/>
    </row>
    <row r="141" spans="7:7" x14ac:dyDescent="0.15">
      <c r="G141" s="15"/>
    </row>
    <row r="142" spans="7:7" x14ac:dyDescent="0.15">
      <c r="G142" s="15"/>
    </row>
    <row r="143" spans="7:7" x14ac:dyDescent="0.15">
      <c r="G143" s="15"/>
    </row>
    <row r="144" spans="7:7" x14ac:dyDescent="0.15">
      <c r="G144" s="15"/>
    </row>
    <row r="145" spans="7:7" x14ac:dyDescent="0.15">
      <c r="G145" s="15"/>
    </row>
    <row r="146" spans="7:7" x14ac:dyDescent="0.15">
      <c r="G146" s="15"/>
    </row>
    <row r="147" spans="7:7" x14ac:dyDescent="0.15">
      <c r="G147" s="15"/>
    </row>
    <row r="148" spans="7:7" x14ac:dyDescent="0.15">
      <c r="G148" s="15"/>
    </row>
    <row r="149" spans="7:7" x14ac:dyDescent="0.15">
      <c r="G149" s="15"/>
    </row>
    <row r="150" spans="7:7" x14ac:dyDescent="0.15">
      <c r="G150" s="15"/>
    </row>
    <row r="151" spans="7:7" x14ac:dyDescent="0.15">
      <c r="G151" s="15"/>
    </row>
    <row r="152" spans="7:7" x14ac:dyDescent="0.15">
      <c r="G152" s="15"/>
    </row>
    <row r="153" spans="7:7" x14ac:dyDescent="0.15">
      <c r="G153" s="15"/>
    </row>
    <row r="154" spans="7:7" x14ac:dyDescent="0.15">
      <c r="G154" s="15"/>
    </row>
    <row r="155" spans="7:7" x14ac:dyDescent="0.15">
      <c r="G155" s="15"/>
    </row>
    <row r="156" spans="7:7" x14ac:dyDescent="0.15">
      <c r="G156" s="15"/>
    </row>
    <row r="157" spans="7:7" x14ac:dyDescent="0.15">
      <c r="G157" s="15"/>
    </row>
    <row r="158" spans="7:7" x14ac:dyDescent="0.15">
      <c r="G158" s="15"/>
    </row>
    <row r="159" spans="7:7" x14ac:dyDescent="0.15">
      <c r="G159" s="15"/>
    </row>
    <row r="160" spans="7:7" x14ac:dyDescent="0.15">
      <c r="G160" s="15"/>
    </row>
    <row r="161" spans="7:7" x14ac:dyDescent="0.15">
      <c r="G161" s="15"/>
    </row>
    <row r="162" spans="7:7" x14ac:dyDescent="0.15">
      <c r="G162" s="15"/>
    </row>
    <row r="163" spans="7:7" x14ac:dyDescent="0.15">
      <c r="G163" s="15"/>
    </row>
    <row r="164" spans="7:7" x14ac:dyDescent="0.15">
      <c r="G164" s="15"/>
    </row>
    <row r="165" spans="7:7" x14ac:dyDescent="0.15">
      <c r="G165" s="15"/>
    </row>
    <row r="166" spans="7:7" x14ac:dyDescent="0.15">
      <c r="G166" s="15"/>
    </row>
    <row r="167" spans="7:7" x14ac:dyDescent="0.15">
      <c r="G167" s="15"/>
    </row>
    <row r="168" spans="7:7" x14ac:dyDescent="0.15">
      <c r="G168" s="15"/>
    </row>
    <row r="169" spans="7:7" x14ac:dyDescent="0.15">
      <c r="G169" s="15"/>
    </row>
    <row r="170" spans="7:7" x14ac:dyDescent="0.15">
      <c r="G170" s="15"/>
    </row>
    <row r="171" spans="7:7" x14ac:dyDescent="0.15">
      <c r="G171" s="15"/>
    </row>
    <row r="172" spans="7:7" x14ac:dyDescent="0.15">
      <c r="G172" s="15"/>
    </row>
    <row r="173" spans="7:7" x14ac:dyDescent="0.15">
      <c r="G173" s="15"/>
    </row>
    <row r="174" spans="7:7" x14ac:dyDescent="0.15">
      <c r="G174" s="15"/>
    </row>
    <row r="175" spans="7:7" x14ac:dyDescent="0.15">
      <c r="G175" s="15"/>
    </row>
    <row r="176" spans="7:7" x14ac:dyDescent="0.15">
      <c r="G176" s="15"/>
    </row>
    <row r="177" spans="7:7" x14ac:dyDescent="0.15">
      <c r="G177" s="15"/>
    </row>
    <row r="178" spans="7:7" x14ac:dyDescent="0.15">
      <c r="G178" s="15"/>
    </row>
    <row r="179" spans="7:7" x14ac:dyDescent="0.15">
      <c r="G179" s="15"/>
    </row>
    <row r="180" spans="7:7" x14ac:dyDescent="0.15">
      <c r="G180" s="15"/>
    </row>
    <row r="181" spans="7:7" x14ac:dyDescent="0.15">
      <c r="G181" s="15"/>
    </row>
    <row r="182" spans="7:7" x14ac:dyDescent="0.15">
      <c r="G182" s="15"/>
    </row>
    <row r="183" spans="7:7" x14ac:dyDescent="0.15">
      <c r="G183" s="15"/>
    </row>
    <row r="184" spans="7:7" x14ac:dyDescent="0.15">
      <c r="G184" s="15"/>
    </row>
    <row r="185" spans="7:7" x14ac:dyDescent="0.15">
      <c r="G185" s="15"/>
    </row>
    <row r="186" spans="7:7" x14ac:dyDescent="0.15">
      <c r="G186" s="15"/>
    </row>
    <row r="187" spans="7:7" x14ac:dyDescent="0.15">
      <c r="G187" s="15"/>
    </row>
    <row r="188" spans="7:7" x14ac:dyDescent="0.15">
      <c r="G188" s="15"/>
    </row>
    <row r="189" spans="7:7" x14ac:dyDescent="0.15">
      <c r="G189" s="15"/>
    </row>
    <row r="190" spans="7:7" x14ac:dyDescent="0.15">
      <c r="G190" s="15"/>
    </row>
    <row r="191" spans="7:7" x14ac:dyDescent="0.15">
      <c r="G191" s="15"/>
    </row>
    <row r="192" spans="7:7" x14ac:dyDescent="0.15">
      <c r="G192" s="15"/>
    </row>
    <row r="193" spans="7:7" x14ac:dyDescent="0.15">
      <c r="G193" s="15"/>
    </row>
    <row r="194" spans="7:7" x14ac:dyDescent="0.15">
      <c r="G194" s="15"/>
    </row>
    <row r="195" spans="7:7" x14ac:dyDescent="0.15">
      <c r="G195" s="15"/>
    </row>
    <row r="196" spans="7:7" x14ac:dyDescent="0.15">
      <c r="G196" s="15"/>
    </row>
    <row r="197" spans="7:7" x14ac:dyDescent="0.15">
      <c r="G197" s="15"/>
    </row>
    <row r="198" spans="7:7" x14ac:dyDescent="0.15">
      <c r="G198" s="15"/>
    </row>
    <row r="199" spans="7:7" x14ac:dyDescent="0.15">
      <c r="G199" s="15"/>
    </row>
    <row r="200" spans="7:7" x14ac:dyDescent="0.15">
      <c r="G200" s="15"/>
    </row>
    <row r="201" spans="7:7" x14ac:dyDescent="0.15">
      <c r="G201" s="15"/>
    </row>
    <row r="202" spans="7:7" x14ac:dyDescent="0.15">
      <c r="G202" s="15"/>
    </row>
    <row r="203" spans="7:7" x14ac:dyDescent="0.15">
      <c r="G203" s="15"/>
    </row>
    <row r="204" spans="7:7" x14ac:dyDescent="0.15">
      <c r="G204" s="15"/>
    </row>
    <row r="205" spans="7:7" x14ac:dyDescent="0.15">
      <c r="G205" s="15"/>
    </row>
    <row r="206" spans="7:7" x14ac:dyDescent="0.15">
      <c r="G206" s="15"/>
    </row>
    <row r="207" spans="7:7" x14ac:dyDescent="0.15">
      <c r="G207" s="15"/>
    </row>
    <row r="208" spans="7:7" x14ac:dyDescent="0.15">
      <c r="G208" s="15"/>
    </row>
    <row r="209" spans="7:7" x14ac:dyDescent="0.15">
      <c r="G209" s="15"/>
    </row>
    <row r="210" spans="7:7" x14ac:dyDescent="0.15">
      <c r="G210" s="15"/>
    </row>
    <row r="211" spans="7:7" x14ac:dyDescent="0.15">
      <c r="G211" s="15"/>
    </row>
    <row r="212" spans="7:7" x14ac:dyDescent="0.15">
      <c r="G212" s="15"/>
    </row>
    <row r="213" spans="7:7" x14ac:dyDescent="0.15">
      <c r="G213" s="15"/>
    </row>
    <row r="214" spans="7:7" x14ac:dyDescent="0.15">
      <c r="G214" s="15"/>
    </row>
    <row r="215" spans="7:7" x14ac:dyDescent="0.15">
      <c r="G215" s="15"/>
    </row>
    <row r="216" spans="7:7" x14ac:dyDescent="0.15">
      <c r="G216" s="15"/>
    </row>
    <row r="217" spans="7:7" x14ac:dyDescent="0.15">
      <c r="G217" s="15"/>
    </row>
    <row r="218" spans="7:7" x14ac:dyDescent="0.15">
      <c r="G218" s="15"/>
    </row>
    <row r="219" spans="7:7" x14ac:dyDescent="0.15">
      <c r="G219" s="15"/>
    </row>
    <row r="220" spans="7:7" x14ac:dyDescent="0.15">
      <c r="G220" s="15"/>
    </row>
    <row r="221" spans="7:7" x14ac:dyDescent="0.15">
      <c r="G221" s="15"/>
    </row>
    <row r="222" spans="7:7" x14ac:dyDescent="0.15">
      <c r="G222" s="15"/>
    </row>
    <row r="223" spans="7:7" x14ac:dyDescent="0.15">
      <c r="G223" s="15"/>
    </row>
    <row r="224" spans="7:7" x14ac:dyDescent="0.15">
      <c r="G224" s="15"/>
    </row>
    <row r="225" spans="7:7" x14ac:dyDescent="0.15">
      <c r="G225" s="15"/>
    </row>
    <row r="226" spans="7:7" x14ac:dyDescent="0.15">
      <c r="G226" s="15"/>
    </row>
    <row r="227" spans="7:7" x14ac:dyDescent="0.15">
      <c r="G227" s="15"/>
    </row>
    <row r="228" spans="7:7" x14ac:dyDescent="0.15">
      <c r="G228" s="15"/>
    </row>
    <row r="229" spans="7:7" x14ac:dyDescent="0.15">
      <c r="G229" s="15"/>
    </row>
    <row r="230" spans="7:7" x14ac:dyDescent="0.15">
      <c r="G230" s="15"/>
    </row>
    <row r="231" spans="7:7" x14ac:dyDescent="0.15">
      <c r="G231" s="15"/>
    </row>
    <row r="232" spans="7:7" x14ac:dyDescent="0.15">
      <c r="G232" s="15"/>
    </row>
    <row r="233" spans="7:7" x14ac:dyDescent="0.15">
      <c r="G233" s="15"/>
    </row>
    <row r="234" spans="7:7" x14ac:dyDescent="0.15">
      <c r="G234" s="15"/>
    </row>
    <row r="235" spans="7:7" x14ac:dyDescent="0.15">
      <c r="G235" s="15"/>
    </row>
  </sheetData>
  <dataConsolidate/>
  <mergeCells count="1">
    <mergeCell ref="M5:V5"/>
  </mergeCells>
  <phoneticPr fontId="2" type="noConversion"/>
  <dataValidations disablePrompts="1" count="8">
    <dataValidation type="list" allowBlank="1" showInputMessage="1" showErrorMessage="1" sqref="D2" xr:uid="{00000000-0002-0000-0000-000000000000}">
      <formula1>"1,,2,3,4"</formula1>
    </dataValidation>
    <dataValidation type="decimal" allowBlank="1" showInputMessage="1" showErrorMessage="1" sqref="E2" xr:uid="{00000000-0002-0000-0000-000001000000}">
      <formula1>0.8</formula1>
      <formula2>1</formula2>
    </dataValidation>
    <dataValidation type="decimal" allowBlank="1" showInputMessage="1" showErrorMessage="1" sqref="F2" xr:uid="{00000000-0002-0000-0000-000002000000}">
      <formula1>0.9</formula1>
      <formula2>1</formula2>
    </dataValidation>
    <dataValidation type="list" allowBlank="1" showInputMessage="1" showErrorMessage="1" sqref="F6" xr:uid="{00000000-0002-0000-0000-000003000000}">
      <formula1>"ABB,国产"</formula1>
    </dataValidation>
    <dataValidation type="whole" allowBlank="1" showInputMessage="1" showErrorMessage="1" sqref="C2" xr:uid="{00000000-0002-0000-0000-000004000000}">
      <formula1>20</formula1>
      <formula2>53</formula2>
    </dataValidation>
    <dataValidation type="list" allowBlank="1" showInputMessage="1" showErrorMessage="1" sqref="K6 K2" xr:uid="{00000000-0002-0000-0000-000005000000}">
      <formula1>"是,否"</formula1>
    </dataValidation>
    <dataValidation type="list" allowBlank="1" showInputMessage="1" showErrorMessage="1" sqref="G2" xr:uid="{00000000-0002-0000-0000-000006000000}">
      <formula1>$J$9:$J$24</formula1>
    </dataValidation>
    <dataValidation type="list" allowBlank="1" showInputMessage="1" showErrorMessage="1" sqref="H2" xr:uid="{00000000-0002-0000-0000-000007000000}">
      <formula1>$K$9:$K$15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8000000}">
          <x14:formula1>
            <xm:f>UPS!$A$2:$A$33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2B00-D201-477B-B865-CDB504E0A41E}">
  <sheetPr codeName="Sheet8"/>
  <dimension ref="A1:V235"/>
  <sheetViews>
    <sheetView zoomScaleNormal="100" workbookViewId="0">
      <selection activeCell="E11" sqref="E11"/>
    </sheetView>
  </sheetViews>
  <sheetFormatPr defaultRowHeight="14.25" x14ac:dyDescent="0.15"/>
  <cols>
    <col min="2" max="2" width="8.875" customWidth="1"/>
    <col min="3" max="3" width="18.375" bestFit="1" customWidth="1"/>
    <col min="4" max="4" width="12.25" bestFit="1" customWidth="1"/>
    <col min="5" max="5" width="15.25" customWidth="1"/>
    <col min="6" max="6" width="9.125" customWidth="1"/>
    <col min="7" max="7" width="19" customWidth="1"/>
    <col min="8" max="8" width="13.25" customWidth="1"/>
    <col min="9" max="9" width="17" customWidth="1"/>
    <col min="10" max="10" width="34" customWidth="1"/>
    <col min="11" max="11" width="16.25" customWidth="1"/>
    <col min="13" max="13" width="11.125" style="44" customWidth="1"/>
    <col min="14" max="14" width="14.5" style="44" customWidth="1"/>
    <col min="15" max="15" width="9" style="49"/>
    <col min="16" max="22" width="9" style="44"/>
  </cols>
  <sheetData>
    <row r="1" spans="1:22" ht="54" customHeight="1" x14ac:dyDescent="0.15">
      <c r="A1" s="17" t="s">
        <v>182</v>
      </c>
      <c r="B1" s="16" t="s">
        <v>21</v>
      </c>
      <c r="C1" s="16" t="s">
        <v>184</v>
      </c>
      <c r="D1" s="16" t="s">
        <v>5</v>
      </c>
      <c r="E1" s="16" t="s">
        <v>2</v>
      </c>
      <c r="F1" s="16" t="s">
        <v>1</v>
      </c>
      <c r="G1" s="16" t="s">
        <v>6</v>
      </c>
      <c r="H1" s="16" t="s">
        <v>7</v>
      </c>
      <c r="I1" s="16" t="s">
        <v>8</v>
      </c>
      <c r="J1" s="17" t="s">
        <v>27</v>
      </c>
      <c r="K1" s="44"/>
      <c r="M1" s="47" t="s">
        <v>169</v>
      </c>
      <c r="N1" s="48" t="s">
        <v>181</v>
      </c>
    </row>
    <row r="2" spans="1:22" x14ac:dyDescent="0.15">
      <c r="A2" s="33"/>
      <c r="B2" s="12">
        <v>600</v>
      </c>
      <c r="C2" s="11">
        <v>240</v>
      </c>
      <c r="D2" s="11">
        <v>1</v>
      </c>
      <c r="E2" s="11">
        <v>1</v>
      </c>
      <c r="F2" s="11">
        <f>IF(B2&gt;100,0.95,0.93)</f>
        <v>0.95</v>
      </c>
      <c r="G2" s="14" t="s">
        <v>208</v>
      </c>
      <c r="H2" s="11">
        <v>1.75</v>
      </c>
      <c r="I2" s="57">
        <f>IF(A2="",B2*E2*1000/(F2*C2*D2),A2*1000/(F2*C2*D2))</f>
        <v>2631.5789473684213</v>
      </c>
      <c r="J2" s="56" t="str">
        <f>INDEX(C9:C27,MATCH("满足",E9:E27,0))</f>
        <v>GFMD-3000B</v>
      </c>
      <c r="K2" s="44"/>
      <c r="M2" s="50" t="str">
        <f>G2</f>
        <v>60min</v>
      </c>
      <c r="N2" s="51">
        <f>B2*1000*E2/(C2*2*0.8*F2*HLOOKUP(M2,M6:V7,2,FALSE))/D2</f>
        <v>2741.2280701754389</v>
      </c>
    </row>
    <row r="3" spans="1:22" x14ac:dyDescent="0.15">
      <c r="K3" s="44"/>
      <c r="O3" s="44"/>
    </row>
    <row r="4" spans="1:22" x14ac:dyDescent="0.15">
      <c r="O4" s="44"/>
    </row>
    <row r="5" spans="1:22" ht="36" x14ac:dyDescent="0.15">
      <c r="B5" s="16" t="s">
        <v>17</v>
      </c>
      <c r="C5" s="16" t="s">
        <v>18</v>
      </c>
      <c r="D5" s="18" t="s">
        <v>15</v>
      </c>
      <c r="E5" s="18" t="s">
        <v>16</v>
      </c>
      <c r="F5" s="16" t="s">
        <v>19</v>
      </c>
      <c r="G5" s="18" t="s">
        <v>23</v>
      </c>
      <c r="H5" s="18" t="s">
        <v>24</v>
      </c>
      <c r="I5" s="18" t="s">
        <v>25</v>
      </c>
      <c r="J5" s="18" t="s">
        <v>26</v>
      </c>
      <c r="K5" s="16" t="s">
        <v>28</v>
      </c>
      <c r="M5" s="88" t="s">
        <v>171</v>
      </c>
      <c r="N5" s="89"/>
      <c r="O5" s="89"/>
      <c r="P5" s="89"/>
      <c r="Q5" s="89"/>
      <c r="R5" s="89"/>
      <c r="S5" s="89"/>
      <c r="T5" s="89"/>
      <c r="U5" s="89"/>
      <c r="V5" s="90"/>
    </row>
    <row r="6" spans="1:22" ht="82.5" customHeight="1" x14ac:dyDescent="0.15">
      <c r="B6" s="35">
        <f>IF(A2="",B2*E2*1000/(C2*H2*F2),A2*1000/(C2*H2*F2))</f>
        <v>1503.7593984962407</v>
      </c>
      <c r="C6" s="35" t="str">
        <f>IF(D2=1,"NA",B6/(D2-1))</f>
        <v>NA</v>
      </c>
      <c r="D6" s="53">
        <f>IF(K6="是",LARGE(断路器!$A$1:$A$25,COUNTIF(断路器!$A$1:$A$25,"&gt;"&amp;B$6)),"无主开关")</f>
        <v>1600</v>
      </c>
      <c r="E6" s="53" t="str">
        <f>IF(D2=1,"无",LARGE(断路器!$A$1:$A$25,COUNTIF(断路器!$A$1:$A$25,"&gt;"&amp;C$6)))</f>
        <v>无</v>
      </c>
      <c r="F6" s="54" t="s">
        <v>207</v>
      </c>
      <c r="G6" s="35" t="str">
        <f>IF(C2&lt;=35,"3P","4P")</f>
        <v>4P</v>
      </c>
      <c r="H6" s="35" t="str">
        <f>IF(G6="3P","DC500V","DC750V")</f>
        <v>DC750V</v>
      </c>
      <c r="I6" s="35" t="str">
        <f>IF(D2=1,CONCATENATE("输入",D6,"/",G6,"-",H6,"-",F6,"-","主开关与UPS联动","-","带中性线"),IF(K6="是",CONCATENATE("输入",D6,"/",G6,"-",H6,"-","输出",D2,"*",E6,"/",G6,"-",F6,"-","主开关与UPS联动","-","带中性线"),CONCATENATE(D6,"-",H6,"-","输出",D2,"*",E6,"/",G6,"-",F6,"-","主开关与UPS联动","-","带中性线")))</f>
        <v>输入1600/4P-DC750V-国产-主开关与UPS联动-带中性线</v>
      </c>
      <c r="J6" s="55" t="str">
        <f>CONCATENATE(IF(D2=1,D6,E6),"A","-",C2,"节/组","-","电池型号","[",J2,"]","-","含电池连接铜排与导线")</f>
        <v>1600A-240节/组-电池型号[GFMD-3000B]-含电池连接铜排与导线</v>
      </c>
      <c r="K6" s="13" t="s">
        <v>48</v>
      </c>
      <c r="M6" s="47" t="s">
        <v>172</v>
      </c>
      <c r="N6" s="47" t="s">
        <v>170</v>
      </c>
      <c r="O6" s="47" t="s">
        <v>173</v>
      </c>
      <c r="P6" s="47" t="s">
        <v>174</v>
      </c>
      <c r="Q6" s="47" t="s">
        <v>175</v>
      </c>
      <c r="R6" s="47" t="s">
        <v>176</v>
      </c>
      <c r="S6" s="47" t="s">
        <v>177</v>
      </c>
      <c r="T6" s="47" t="s">
        <v>178</v>
      </c>
      <c r="U6" s="47" t="s">
        <v>179</v>
      </c>
      <c r="V6" s="47" t="s">
        <v>180</v>
      </c>
    </row>
    <row r="7" spans="1:22" ht="15" thickBot="1" x14ac:dyDescent="0.2">
      <c r="M7" s="47" t="s">
        <v>172</v>
      </c>
      <c r="N7" s="52">
        <v>1.8</v>
      </c>
      <c r="O7" s="52">
        <v>1.2</v>
      </c>
      <c r="P7" s="52">
        <v>0.6</v>
      </c>
      <c r="Q7" s="52">
        <v>0.45</v>
      </c>
      <c r="R7" s="52">
        <v>0.36</v>
      </c>
      <c r="S7" s="52">
        <v>0.3</v>
      </c>
      <c r="T7" s="52">
        <v>0.24</v>
      </c>
      <c r="U7" s="52">
        <v>0.18</v>
      </c>
      <c r="V7" s="52">
        <v>0.12</v>
      </c>
    </row>
    <row r="8" spans="1:22" x14ac:dyDescent="0.15">
      <c r="B8" s="68" t="s">
        <v>9</v>
      </c>
      <c r="C8" s="69" t="s">
        <v>65</v>
      </c>
      <c r="D8" s="69" t="s">
        <v>47</v>
      </c>
      <c r="E8" s="70" t="s">
        <v>49</v>
      </c>
      <c r="F8" s="64"/>
      <c r="G8" s="64"/>
      <c r="H8" s="64"/>
      <c r="I8" s="64"/>
      <c r="J8" s="77" t="s">
        <v>6</v>
      </c>
      <c r="K8" s="78" t="s">
        <v>12</v>
      </c>
    </row>
    <row r="9" spans="1:22" ht="20.100000000000001" customHeight="1" x14ac:dyDescent="0.15">
      <c r="B9" s="71">
        <v>1</v>
      </c>
      <c r="C9" s="34" t="s">
        <v>185</v>
      </c>
      <c r="D9" s="63" cm="1">
        <f t="array" ref="D9">FindData(C9,$H$2,$G$2)</f>
        <v>94.5</v>
      </c>
      <c r="E9" s="72" t="str">
        <f>IF(OR(D9="未找到数据。",D9="未找到表头。"),"×",IF(D9&gt;=$I$2,"满足","不满足"))</f>
        <v>不满足</v>
      </c>
      <c r="F9" s="65"/>
      <c r="G9" s="65"/>
      <c r="H9" s="66"/>
      <c r="I9" s="65"/>
      <c r="J9" s="79" t="s">
        <v>11</v>
      </c>
      <c r="K9" s="80">
        <v>1.6</v>
      </c>
    </row>
    <row r="10" spans="1:22" ht="20.100000000000001" customHeight="1" x14ac:dyDescent="0.15">
      <c r="B10" s="71">
        <v>2</v>
      </c>
      <c r="C10" s="34" t="s">
        <v>196</v>
      </c>
      <c r="D10" s="63" cm="1">
        <f t="array" ref="D10">FindData(C10,$H$2,$G$2)</f>
        <v>214.3</v>
      </c>
      <c r="E10" s="72" t="str">
        <f t="shared" ref="E10:E19" si="0">IF(OR(D10="未找到数据。",D10="未找到表头。"),"×",IF(D10&gt;=$I$2,"满足","不满足"))</f>
        <v>不满足</v>
      </c>
      <c r="F10" s="65"/>
      <c r="G10" s="65"/>
      <c r="H10" s="66"/>
      <c r="I10" s="65"/>
      <c r="J10" s="79" t="s">
        <v>50</v>
      </c>
      <c r="K10" s="80">
        <v>1.65</v>
      </c>
    </row>
    <row r="11" spans="1:22" ht="20.100000000000001" customHeight="1" x14ac:dyDescent="0.15">
      <c r="B11" s="71">
        <v>3</v>
      </c>
      <c r="C11" s="34" t="s">
        <v>197</v>
      </c>
      <c r="D11" s="63" cm="1">
        <f t="array" ref="D11">FindData(C11,$H$2,$G$2)</f>
        <v>330.4</v>
      </c>
      <c r="E11" s="72" t="str">
        <f t="shared" si="0"/>
        <v>不满足</v>
      </c>
      <c r="F11" s="65"/>
      <c r="G11" s="65"/>
      <c r="H11" s="66"/>
      <c r="I11" s="65"/>
      <c r="J11" s="79" t="s">
        <v>51</v>
      </c>
      <c r="K11" s="80">
        <v>1.67</v>
      </c>
    </row>
    <row r="12" spans="1:22" ht="20.100000000000001" customHeight="1" x14ac:dyDescent="0.15">
      <c r="B12" s="71">
        <v>4</v>
      </c>
      <c r="C12" s="34" t="s">
        <v>198</v>
      </c>
      <c r="D12" s="63" cm="1">
        <f t="array" ref="D12">FindData(C12,$H$2,$G$2)</f>
        <v>428.7</v>
      </c>
      <c r="E12" s="72" t="str">
        <f t="shared" si="0"/>
        <v>不满足</v>
      </c>
      <c r="F12" s="65"/>
      <c r="G12" s="65"/>
      <c r="H12" s="66"/>
      <c r="I12" s="65"/>
      <c r="J12" s="79" t="s">
        <v>52</v>
      </c>
      <c r="K12" s="80">
        <v>1.7</v>
      </c>
    </row>
    <row r="13" spans="1:22" ht="20.100000000000001" customHeight="1" x14ac:dyDescent="0.15">
      <c r="B13" s="71">
        <v>5</v>
      </c>
      <c r="C13" s="34" t="s">
        <v>199</v>
      </c>
      <c r="D13" s="63" cm="1">
        <f t="array" ref="D13">FindData(C13,$H$2,$G$2)</f>
        <v>551.20000000000005</v>
      </c>
      <c r="E13" s="72" t="str">
        <f t="shared" si="0"/>
        <v>不满足</v>
      </c>
      <c r="F13" s="65"/>
      <c r="G13" s="65"/>
      <c r="H13" s="66"/>
      <c r="I13" s="65"/>
      <c r="J13" s="79" t="s">
        <v>53</v>
      </c>
      <c r="K13" s="80">
        <v>1.75</v>
      </c>
    </row>
    <row r="14" spans="1:22" ht="20.100000000000001" customHeight="1" x14ac:dyDescent="0.15">
      <c r="B14" s="71">
        <v>6</v>
      </c>
      <c r="C14" s="34" t="s">
        <v>200</v>
      </c>
      <c r="D14" s="63" cm="1">
        <f t="array" ref="D14">FindData(C14,$H$2,$G$2)</f>
        <v>649</v>
      </c>
      <c r="E14" s="72" t="str">
        <f t="shared" si="0"/>
        <v>不满足</v>
      </c>
      <c r="F14" s="65"/>
      <c r="G14" s="65"/>
      <c r="H14" s="66"/>
      <c r="I14" s="65"/>
      <c r="J14" s="79" t="s">
        <v>206</v>
      </c>
      <c r="K14" s="80">
        <v>1.8</v>
      </c>
    </row>
    <row r="15" spans="1:22" ht="20.100000000000001" customHeight="1" x14ac:dyDescent="0.15">
      <c r="B15" s="71">
        <v>7</v>
      </c>
      <c r="C15" s="34" t="s">
        <v>201</v>
      </c>
      <c r="D15" s="63" cm="1">
        <f t="array" ref="D15">FindData(C15,$H$2,$G$2)</f>
        <v>885</v>
      </c>
      <c r="E15" s="72" t="str">
        <f t="shared" si="0"/>
        <v>不满足</v>
      </c>
      <c r="F15" s="65"/>
      <c r="G15" s="65"/>
      <c r="H15" s="66"/>
      <c r="I15" s="65"/>
      <c r="J15" s="79" t="s">
        <v>54</v>
      </c>
      <c r="K15" s="80">
        <v>1.85</v>
      </c>
      <c r="M15" s="59"/>
    </row>
    <row r="16" spans="1:22" ht="20.100000000000001" customHeight="1" x14ac:dyDescent="0.15">
      <c r="B16" s="71">
        <v>8</v>
      </c>
      <c r="C16" s="34" t="s">
        <v>202</v>
      </c>
      <c r="D16" s="63" cm="1">
        <f t="array" ref="D16">FindData(C16,$H$2,$G$2)</f>
        <v>1093.4000000000001</v>
      </c>
      <c r="E16" s="72" t="str">
        <f t="shared" si="0"/>
        <v>不满足</v>
      </c>
      <c r="F16" s="65"/>
      <c r="G16" s="65"/>
      <c r="H16" s="66"/>
      <c r="I16" s="65"/>
      <c r="J16" s="79" t="s">
        <v>55</v>
      </c>
      <c r="K16" s="80"/>
    </row>
    <row r="17" spans="2:11" ht="20.100000000000001" customHeight="1" x14ac:dyDescent="0.15">
      <c r="B17" s="71">
        <v>9</v>
      </c>
      <c r="C17" s="34" t="s">
        <v>203</v>
      </c>
      <c r="D17" s="63" cm="1">
        <f t="array" ref="D17">FindData(C17,$H$2,$G$2)</f>
        <v>1173.7</v>
      </c>
      <c r="E17" s="72" t="str">
        <f t="shared" si="0"/>
        <v>不满足</v>
      </c>
      <c r="F17" s="65"/>
      <c r="G17" s="65"/>
      <c r="H17" s="66"/>
      <c r="I17" s="65"/>
      <c r="J17" s="79" t="s">
        <v>56</v>
      </c>
      <c r="K17" s="80"/>
    </row>
    <row r="18" spans="2:11" ht="20.100000000000001" customHeight="1" x14ac:dyDescent="0.15">
      <c r="B18" s="71">
        <v>10</v>
      </c>
      <c r="C18" s="34" t="s">
        <v>204</v>
      </c>
      <c r="D18" s="63" cm="1">
        <f t="array" ref="D18">FindData(C18,$H$2,$G$2)</f>
        <v>1589.9</v>
      </c>
      <c r="E18" s="72" t="str">
        <f t="shared" si="0"/>
        <v>不满足</v>
      </c>
      <c r="F18" s="65"/>
      <c r="G18" s="65"/>
      <c r="H18" s="66"/>
      <c r="I18" s="65"/>
      <c r="J18" s="79" t="s">
        <v>57</v>
      </c>
      <c r="K18" s="80"/>
    </row>
    <row r="19" spans="2:11" ht="20.100000000000001" customHeight="1" x14ac:dyDescent="0.15">
      <c r="B19" s="71">
        <v>11</v>
      </c>
      <c r="C19" s="34" t="s">
        <v>205</v>
      </c>
      <c r="D19" s="63" cm="1">
        <f t="array" ref="D19">FindData(C19,$H$2,$G$2)</f>
        <v>2119.1999999999998</v>
      </c>
      <c r="E19" s="72" t="str">
        <f t="shared" si="0"/>
        <v>不满足</v>
      </c>
      <c r="F19" s="65"/>
      <c r="G19" s="65"/>
      <c r="H19" s="66"/>
      <c r="I19" s="65"/>
      <c r="J19" s="79" t="s">
        <v>58</v>
      </c>
      <c r="K19" s="80"/>
    </row>
    <row r="20" spans="2:11" ht="20.100000000000001" customHeight="1" x14ac:dyDescent="0.15">
      <c r="B20" s="71">
        <v>12</v>
      </c>
      <c r="C20" s="34" t="s">
        <v>215</v>
      </c>
      <c r="D20" s="63" cm="1">
        <f t="array" ref="D20">FindData(C20,$H$2,$G$2)</f>
        <v>3179.8</v>
      </c>
      <c r="E20" s="72" t="str">
        <f t="shared" ref="E20" si="1">IF(OR(D20="未找到数据。",D20="未找到表头。"),"×",IF(D20&gt;=$I$2,"满足","不满足"))</f>
        <v>满足</v>
      </c>
      <c r="F20" s="65"/>
      <c r="G20" s="65"/>
      <c r="H20" s="66"/>
      <c r="I20" s="65"/>
      <c r="J20" s="79" t="s">
        <v>59</v>
      </c>
      <c r="K20" s="80"/>
    </row>
    <row r="21" spans="2:11" ht="20.100000000000001" customHeight="1" x14ac:dyDescent="0.15">
      <c r="B21" s="71">
        <v>13</v>
      </c>
      <c r="C21" s="34"/>
      <c r="D21" s="63"/>
      <c r="E21" s="72"/>
      <c r="F21" s="65"/>
      <c r="G21" s="65"/>
      <c r="H21" s="66"/>
      <c r="I21" s="65"/>
      <c r="J21" s="79" t="s">
        <v>60</v>
      </c>
      <c r="K21" s="80"/>
    </row>
    <row r="22" spans="2:11" ht="20.100000000000001" customHeight="1" x14ac:dyDescent="0.15">
      <c r="B22" s="71">
        <v>14</v>
      </c>
      <c r="C22" s="34"/>
      <c r="D22" s="63"/>
      <c r="E22" s="72"/>
      <c r="F22" s="65"/>
      <c r="G22" s="65"/>
      <c r="H22" s="66"/>
      <c r="I22" s="65"/>
      <c r="J22" s="79" t="s">
        <v>61</v>
      </c>
      <c r="K22" s="80"/>
    </row>
    <row r="23" spans="2:11" ht="20.100000000000001" customHeight="1" x14ac:dyDescent="0.15">
      <c r="B23" s="71">
        <v>15</v>
      </c>
      <c r="C23" s="34"/>
      <c r="D23" s="63"/>
      <c r="E23" s="72"/>
      <c r="F23" s="65"/>
      <c r="G23" s="67"/>
      <c r="H23" s="66"/>
      <c r="I23" s="65"/>
      <c r="J23" s="79" t="s">
        <v>62</v>
      </c>
      <c r="K23" s="81"/>
    </row>
    <row r="24" spans="2:11" ht="20.100000000000001" customHeight="1" x14ac:dyDescent="0.15">
      <c r="B24" s="71">
        <v>16</v>
      </c>
      <c r="C24" s="34"/>
      <c r="D24" s="63"/>
      <c r="E24" s="72"/>
      <c r="F24" s="65"/>
      <c r="G24" s="67"/>
      <c r="H24" s="66"/>
      <c r="I24" s="65"/>
      <c r="J24" s="79" t="s">
        <v>83</v>
      </c>
      <c r="K24" s="81"/>
    </row>
    <row r="25" spans="2:11" ht="20.100000000000001" customHeight="1" x14ac:dyDescent="0.15">
      <c r="B25" s="71">
        <v>17</v>
      </c>
      <c r="C25" s="34"/>
      <c r="D25" s="63"/>
      <c r="E25" s="72"/>
      <c r="F25" s="65"/>
      <c r="G25" s="67"/>
      <c r="H25" s="66"/>
      <c r="I25" s="65"/>
      <c r="J25" s="82"/>
      <c r="K25" s="81"/>
    </row>
    <row r="26" spans="2:11" ht="20.100000000000001" customHeight="1" x14ac:dyDescent="0.15">
      <c r="B26" s="71">
        <v>18</v>
      </c>
      <c r="C26" s="34"/>
      <c r="D26" s="63"/>
      <c r="E26" s="72"/>
      <c r="F26" s="65"/>
      <c r="G26" s="67"/>
      <c r="H26" s="66"/>
      <c r="I26" s="65"/>
      <c r="J26" s="82"/>
      <c r="K26" s="81"/>
    </row>
    <row r="27" spans="2:11" ht="20.100000000000001" customHeight="1" thickBot="1" x14ac:dyDescent="0.2">
      <c r="B27" s="73">
        <v>19</v>
      </c>
      <c r="C27" s="74"/>
      <c r="D27" s="75"/>
      <c r="E27" s="76"/>
      <c r="F27" s="65"/>
      <c r="G27" s="67"/>
      <c r="H27" s="66"/>
      <c r="I27" s="65"/>
      <c r="J27" s="83"/>
      <c r="K27" s="84"/>
    </row>
    <row r="28" spans="2:11" ht="20.100000000000001" customHeight="1" x14ac:dyDescent="0.15">
      <c r="B28" s="44"/>
      <c r="C28" s="44"/>
      <c r="D28" s="44"/>
      <c r="E28" s="44"/>
      <c r="F28" s="65"/>
      <c r="G28" s="67"/>
      <c r="H28" s="66"/>
      <c r="I28" s="65"/>
      <c r="J28" s="44"/>
      <c r="K28" s="44"/>
    </row>
    <row r="29" spans="2:11" ht="20.100000000000001" customHeight="1" x14ac:dyDescent="0.15">
      <c r="B29" s="44"/>
      <c r="C29" s="44"/>
      <c r="D29" s="44"/>
      <c r="E29" s="44"/>
      <c r="F29" s="65"/>
      <c r="G29" s="67"/>
      <c r="H29" s="66"/>
      <c r="I29" s="65"/>
      <c r="J29" s="44"/>
      <c r="K29" s="44"/>
    </row>
    <row r="30" spans="2:11" ht="20.100000000000001" customHeight="1" x14ac:dyDescent="0.15">
      <c r="B30" s="44"/>
      <c r="C30" s="44"/>
      <c r="D30" s="44"/>
      <c r="E30" s="44"/>
      <c r="F30" s="65"/>
      <c r="G30" s="67"/>
      <c r="H30" s="66"/>
      <c r="I30" s="65"/>
      <c r="J30" s="44"/>
      <c r="K30" s="44"/>
    </row>
    <row r="31" spans="2:11" ht="20.100000000000001" customHeight="1" x14ac:dyDescent="0.15">
      <c r="B31" s="44"/>
      <c r="C31" s="44"/>
      <c r="D31" s="44"/>
      <c r="E31" s="44"/>
      <c r="F31" s="65"/>
      <c r="G31" s="67"/>
      <c r="H31" s="66"/>
      <c r="I31" s="65"/>
      <c r="J31" s="44"/>
      <c r="K31" s="44"/>
    </row>
    <row r="32" spans="2:11" ht="20.100000000000001" customHeight="1" x14ac:dyDescent="0.15">
      <c r="B32" s="44"/>
      <c r="C32" s="44"/>
      <c r="D32" s="44"/>
      <c r="E32" s="44"/>
      <c r="F32" s="65"/>
      <c r="G32" s="67"/>
      <c r="H32" s="66"/>
      <c r="I32" s="65"/>
      <c r="J32" s="44"/>
      <c r="K32" s="44"/>
    </row>
    <row r="33" spans="2:11" ht="20.100000000000001" customHeight="1" x14ac:dyDescent="0.15">
      <c r="B33" s="44"/>
      <c r="C33" s="44"/>
      <c r="D33" s="44"/>
      <c r="E33" s="44"/>
      <c r="F33" s="65"/>
      <c r="G33" s="67"/>
      <c r="H33" s="66"/>
      <c r="I33" s="65"/>
      <c r="J33" s="44"/>
      <c r="K33" s="44"/>
    </row>
    <row r="34" spans="2:11" ht="20.100000000000001" customHeight="1" x14ac:dyDescent="0.15">
      <c r="B34" s="44"/>
      <c r="C34" s="44"/>
      <c r="D34" s="44"/>
      <c r="E34" s="44"/>
      <c r="F34" s="65"/>
      <c r="G34" s="67"/>
      <c r="H34" s="66"/>
      <c r="I34" s="65"/>
      <c r="J34" s="44"/>
      <c r="K34" s="44"/>
    </row>
    <row r="35" spans="2:11" ht="20.100000000000001" customHeight="1" x14ac:dyDescent="0.15">
      <c r="B35" s="44"/>
      <c r="C35" s="44"/>
      <c r="D35" s="44"/>
      <c r="E35" s="44"/>
      <c r="F35" s="65"/>
      <c r="G35" s="67"/>
      <c r="H35" s="66"/>
      <c r="I35" s="65"/>
      <c r="J35" s="44"/>
      <c r="K35" s="44"/>
    </row>
    <row r="36" spans="2:11" ht="20.100000000000001" customHeight="1" x14ac:dyDescent="0.15">
      <c r="B36" s="44"/>
      <c r="C36" s="44"/>
      <c r="D36" s="44"/>
      <c r="E36" s="44"/>
      <c r="F36" s="65"/>
      <c r="G36" s="67"/>
      <c r="H36" s="66"/>
      <c r="I36" s="65"/>
      <c r="J36" s="44"/>
      <c r="K36" s="44"/>
    </row>
    <row r="37" spans="2:11" ht="20.100000000000001" customHeight="1" x14ac:dyDescent="0.15">
      <c r="B37" s="44"/>
      <c r="C37" s="44"/>
      <c r="D37" s="44"/>
      <c r="E37" s="44"/>
      <c r="F37" s="65"/>
      <c r="G37" s="67"/>
      <c r="H37" s="66"/>
      <c r="I37" s="65"/>
      <c r="J37" s="44"/>
      <c r="K37" s="44"/>
    </row>
    <row r="38" spans="2:11" ht="20.100000000000001" customHeight="1" x14ac:dyDescent="0.15">
      <c r="B38" s="44"/>
      <c r="C38" s="44"/>
      <c r="D38" s="44"/>
      <c r="E38" s="44"/>
      <c r="F38" s="65"/>
      <c r="G38" s="67"/>
      <c r="H38" s="66"/>
      <c r="I38" s="65"/>
      <c r="J38" s="44"/>
      <c r="K38" s="44"/>
    </row>
    <row r="39" spans="2:11" ht="20.100000000000001" customHeight="1" x14ac:dyDescent="0.15">
      <c r="B39" s="44"/>
      <c r="C39" s="44"/>
      <c r="D39" s="44"/>
      <c r="E39" s="44"/>
      <c r="F39" s="65"/>
      <c r="G39" s="67"/>
      <c r="H39" s="66"/>
      <c r="I39" s="65"/>
      <c r="J39" s="44"/>
      <c r="K39" s="44"/>
    </row>
    <row r="40" spans="2:11" ht="20.100000000000001" customHeight="1" x14ac:dyDescent="0.15">
      <c r="B40" s="44"/>
      <c r="C40" s="44"/>
      <c r="D40" s="44"/>
      <c r="E40" s="44"/>
      <c r="F40" s="65"/>
      <c r="G40" s="67"/>
      <c r="H40" s="66"/>
      <c r="I40" s="65"/>
      <c r="J40" s="44"/>
      <c r="K40" s="44"/>
    </row>
    <row r="41" spans="2:11" ht="20.100000000000001" customHeight="1" x14ac:dyDescent="0.15">
      <c r="B41" s="44"/>
      <c r="C41" s="44"/>
      <c r="D41" s="44"/>
      <c r="E41" s="44"/>
      <c r="F41" s="65"/>
      <c r="G41" s="67"/>
      <c r="H41" s="66"/>
      <c r="I41" s="65"/>
      <c r="J41" s="44"/>
      <c r="K41" s="44"/>
    </row>
    <row r="42" spans="2:11" ht="20.100000000000001" customHeight="1" x14ac:dyDescent="0.15">
      <c r="B42" s="44"/>
      <c r="C42" s="44"/>
      <c r="D42" s="44"/>
      <c r="E42" s="44"/>
      <c r="F42" s="65"/>
      <c r="G42" s="67"/>
      <c r="H42" s="66"/>
      <c r="I42" s="65"/>
      <c r="J42" s="44"/>
      <c r="K42" s="44"/>
    </row>
    <row r="43" spans="2:11" ht="20.100000000000001" customHeight="1" x14ac:dyDescent="0.15">
      <c r="B43" s="44"/>
      <c r="C43" s="44"/>
      <c r="D43" s="44"/>
      <c r="E43" s="44"/>
      <c r="F43" s="65"/>
      <c r="G43" s="67"/>
      <c r="H43" s="66"/>
      <c r="I43" s="65"/>
      <c r="J43" s="44"/>
      <c r="K43" s="44"/>
    </row>
    <row r="44" spans="2:11" ht="20.100000000000001" customHeight="1" x14ac:dyDescent="0.15">
      <c r="G44" s="21"/>
    </row>
    <row r="45" spans="2:11" ht="20.100000000000001" customHeight="1" x14ac:dyDescent="0.15">
      <c r="G45" s="21"/>
    </row>
    <row r="46" spans="2:11" ht="20.100000000000001" customHeight="1" x14ac:dyDescent="0.15">
      <c r="G46" s="21"/>
    </row>
    <row r="47" spans="2:11" ht="20.100000000000001" customHeight="1" x14ac:dyDescent="0.15">
      <c r="G47" s="21"/>
    </row>
    <row r="48" spans="2:11" ht="20.100000000000001" customHeight="1" x14ac:dyDescent="0.15">
      <c r="G48" s="21"/>
    </row>
    <row r="49" spans="7:7" ht="20.100000000000001" customHeight="1" x14ac:dyDescent="0.15">
      <c r="G49" s="21"/>
    </row>
    <row r="50" spans="7:7" ht="20.100000000000001" customHeight="1" x14ac:dyDescent="0.15">
      <c r="G50" s="21"/>
    </row>
    <row r="51" spans="7:7" ht="20.100000000000001" customHeight="1" x14ac:dyDescent="0.15">
      <c r="G51" s="21"/>
    </row>
    <row r="52" spans="7:7" ht="20.100000000000001" customHeight="1" x14ac:dyDescent="0.15">
      <c r="G52" s="21"/>
    </row>
    <row r="53" spans="7:7" ht="20.100000000000001" customHeight="1" x14ac:dyDescent="0.15">
      <c r="G53" s="21"/>
    </row>
    <row r="54" spans="7:7" ht="20.100000000000001" customHeight="1" x14ac:dyDescent="0.15">
      <c r="G54" s="21"/>
    </row>
    <row r="55" spans="7:7" ht="20.100000000000001" customHeight="1" x14ac:dyDescent="0.15">
      <c r="G55" s="21"/>
    </row>
    <row r="56" spans="7:7" ht="20.100000000000001" customHeight="1" x14ac:dyDescent="0.15">
      <c r="G56" s="21"/>
    </row>
    <row r="57" spans="7:7" ht="20.100000000000001" customHeight="1" x14ac:dyDescent="0.15">
      <c r="G57" s="21"/>
    </row>
    <row r="58" spans="7:7" ht="20.100000000000001" customHeight="1" x14ac:dyDescent="0.15">
      <c r="G58" s="21"/>
    </row>
    <row r="59" spans="7:7" ht="20.100000000000001" customHeight="1" x14ac:dyDescent="0.15">
      <c r="G59" s="21"/>
    </row>
    <row r="60" spans="7:7" ht="20.100000000000001" customHeight="1" x14ac:dyDescent="0.15">
      <c r="G60" s="21"/>
    </row>
    <row r="61" spans="7:7" ht="20.100000000000001" customHeight="1" x14ac:dyDescent="0.15">
      <c r="G61" s="21"/>
    </row>
    <row r="62" spans="7:7" ht="20.100000000000001" customHeight="1" x14ac:dyDescent="0.15">
      <c r="G62" s="21"/>
    </row>
    <row r="63" spans="7:7" ht="20.100000000000001" customHeight="1" x14ac:dyDescent="0.15">
      <c r="G63" s="21"/>
    </row>
    <row r="64" spans="7:7" ht="20.100000000000001" customHeight="1" x14ac:dyDescent="0.15">
      <c r="G64" s="21"/>
    </row>
    <row r="65" spans="7:7" ht="20.100000000000001" customHeight="1" x14ac:dyDescent="0.15">
      <c r="G65" s="21"/>
    </row>
    <row r="66" spans="7:7" ht="20.100000000000001" customHeight="1" x14ac:dyDescent="0.15">
      <c r="G66" s="21"/>
    </row>
    <row r="67" spans="7:7" ht="20.100000000000001" customHeight="1" x14ac:dyDescent="0.15">
      <c r="G67" s="21"/>
    </row>
    <row r="68" spans="7:7" ht="20.100000000000001" customHeight="1" x14ac:dyDescent="0.15">
      <c r="G68" s="21"/>
    </row>
    <row r="69" spans="7:7" ht="20.100000000000001" customHeight="1" x14ac:dyDescent="0.15">
      <c r="G69" s="21"/>
    </row>
    <row r="70" spans="7:7" ht="20.100000000000001" customHeight="1" x14ac:dyDescent="0.15">
      <c r="G70" s="21"/>
    </row>
    <row r="71" spans="7:7" ht="20.100000000000001" customHeight="1" x14ac:dyDescent="0.15">
      <c r="G71" s="21"/>
    </row>
    <row r="72" spans="7:7" ht="20.100000000000001" customHeight="1" x14ac:dyDescent="0.15">
      <c r="G72" s="21"/>
    </row>
    <row r="73" spans="7:7" ht="20.100000000000001" customHeight="1" x14ac:dyDescent="0.15">
      <c r="G73" s="21"/>
    </row>
    <row r="74" spans="7:7" ht="20.100000000000001" customHeight="1" x14ac:dyDescent="0.15">
      <c r="G74" s="21"/>
    </row>
    <row r="75" spans="7:7" ht="20.100000000000001" customHeight="1" x14ac:dyDescent="0.15">
      <c r="G75" s="21"/>
    </row>
    <row r="76" spans="7:7" ht="20.100000000000001" customHeight="1" x14ac:dyDescent="0.15">
      <c r="G76" s="21"/>
    </row>
    <row r="77" spans="7:7" ht="20.100000000000001" customHeight="1" x14ac:dyDescent="0.15">
      <c r="G77" s="15"/>
    </row>
    <row r="78" spans="7:7" ht="20.100000000000001" customHeight="1" x14ac:dyDescent="0.15">
      <c r="G78" s="15"/>
    </row>
    <row r="79" spans="7:7" ht="20.100000000000001" customHeight="1" x14ac:dyDescent="0.15">
      <c r="G79" s="15"/>
    </row>
    <row r="80" spans="7:7" ht="20.100000000000001" customHeight="1" x14ac:dyDescent="0.15">
      <c r="G80" s="15"/>
    </row>
    <row r="81" spans="7:7" ht="20.100000000000001" customHeight="1" x14ac:dyDescent="0.15">
      <c r="G81" s="15"/>
    </row>
    <row r="82" spans="7:7" ht="20.100000000000001" customHeight="1" x14ac:dyDescent="0.15">
      <c r="G82" s="15"/>
    </row>
    <row r="83" spans="7:7" ht="20.100000000000001" customHeight="1" x14ac:dyDescent="0.15">
      <c r="G83" s="15"/>
    </row>
    <row r="84" spans="7:7" ht="20.100000000000001" customHeight="1" x14ac:dyDescent="0.15">
      <c r="G84" s="15"/>
    </row>
    <row r="85" spans="7:7" ht="20.100000000000001" customHeight="1" x14ac:dyDescent="0.15">
      <c r="G85" s="15"/>
    </row>
    <row r="86" spans="7:7" ht="20.100000000000001" customHeight="1" x14ac:dyDescent="0.15">
      <c r="G86" s="15"/>
    </row>
    <row r="87" spans="7:7" ht="20.100000000000001" customHeight="1" x14ac:dyDescent="0.15">
      <c r="G87" s="15"/>
    </row>
    <row r="88" spans="7:7" ht="20.100000000000001" customHeight="1" x14ac:dyDescent="0.15">
      <c r="G88" s="15"/>
    </row>
    <row r="89" spans="7:7" ht="20.100000000000001" customHeight="1" x14ac:dyDescent="0.15">
      <c r="G89" s="15"/>
    </row>
    <row r="90" spans="7:7" ht="20.100000000000001" customHeight="1" x14ac:dyDescent="0.15">
      <c r="G90" s="15"/>
    </row>
    <row r="91" spans="7:7" ht="20.100000000000001" customHeight="1" x14ac:dyDescent="0.15">
      <c r="G91" s="15"/>
    </row>
    <row r="92" spans="7:7" ht="20.100000000000001" customHeight="1" x14ac:dyDescent="0.15">
      <c r="G92" s="15"/>
    </row>
    <row r="93" spans="7:7" ht="20.100000000000001" customHeight="1" x14ac:dyDescent="0.15">
      <c r="G93" s="15"/>
    </row>
    <row r="94" spans="7:7" ht="20.100000000000001" customHeight="1" x14ac:dyDescent="0.15">
      <c r="G94" s="15"/>
    </row>
    <row r="95" spans="7:7" x14ac:dyDescent="0.15">
      <c r="G95" s="15"/>
    </row>
    <row r="96" spans="7:7" x14ac:dyDescent="0.15">
      <c r="G96" s="15"/>
    </row>
    <row r="97" spans="7:7" x14ac:dyDescent="0.15">
      <c r="G97" s="15"/>
    </row>
    <row r="98" spans="7:7" x14ac:dyDescent="0.15">
      <c r="G98" s="15"/>
    </row>
    <row r="99" spans="7:7" x14ac:dyDescent="0.15">
      <c r="G99" s="15"/>
    </row>
    <row r="100" spans="7:7" x14ac:dyDescent="0.15">
      <c r="G100" s="15"/>
    </row>
    <row r="101" spans="7:7" x14ac:dyDescent="0.15">
      <c r="G101" s="15"/>
    </row>
    <row r="102" spans="7:7" x14ac:dyDescent="0.15">
      <c r="G102" s="15"/>
    </row>
    <row r="103" spans="7:7" x14ac:dyDescent="0.15">
      <c r="G103" s="15"/>
    </row>
    <row r="104" spans="7:7" x14ac:dyDescent="0.15">
      <c r="G104" s="15"/>
    </row>
    <row r="105" spans="7:7" x14ac:dyDescent="0.15">
      <c r="G105" s="15"/>
    </row>
    <row r="106" spans="7:7" x14ac:dyDescent="0.15">
      <c r="G106" s="15"/>
    </row>
    <row r="107" spans="7:7" x14ac:dyDescent="0.15">
      <c r="G107" s="15"/>
    </row>
    <row r="108" spans="7:7" x14ac:dyDescent="0.15">
      <c r="G108" s="15"/>
    </row>
    <row r="109" spans="7:7" x14ac:dyDescent="0.15">
      <c r="G109" s="15"/>
    </row>
    <row r="110" spans="7:7" x14ac:dyDescent="0.15">
      <c r="G110" s="15"/>
    </row>
    <row r="111" spans="7:7" x14ac:dyDescent="0.15">
      <c r="G111" s="15"/>
    </row>
    <row r="112" spans="7:7" x14ac:dyDescent="0.15">
      <c r="G112" s="15"/>
    </row>
    <row r="113" spans="7:7" x14ac:dyDescent="0.15">
      <c r="G113" s="15"/>
    </row>
    <row r="114" spans="7:7" x14ac:dyDescent="0.15">
      <c r="G114" s="15"/>
    </row>
    <row r="115" spans="7:7" x14ac:dyDescent="0.15">
      <c r="G115" s="15"/>
    </row>
    <row r="116" spans="7:7" x14ac:dyDescent="0.15">
      <c r="G116" s="15"/>
    </row>
    <row r="117" spans="7:7" x14ac:dyDescent="0.15">
      <c r="G117" s="15"/>
    </row>
    <row r="118" spans="7:7" x14ac:dyDescent="0.15">
      <c r="G118" s="15"/>
    </row>
    <row r="119" spans="7:7" x14ac:dyDescent="0.15">
      <c r="G119" s="15"/>
    </row>
    <row r="120" spans="7:7" x14ac:dyDescent="0.15">
      <c r="G120" s="15"/>
    </row>
    <row r="121" spans="7:7" x14ac:dyDescent="0.15">
      <c r="G121" s="15"/>
    </row>
    <row r="122" spans="7:7" x14ac:dyDescent="0.15">
      <c r="G122" s="15"/>
    </row>
    <row r="123" spans="7:7" x14ac:dyDescent="0.15">
      <c r="G123" s="15"/>
    </row>
    <row r="124" spans="7:7" x14ac:dyDescent="0.15">
      <c r="G124" s="15"/>
    </row>
    <row r="125" spans="7:7" x14ac:dyDescent="0.15">
      <c r="G125" s="15"/>
    </row>
    <row r="126" spans="7:7" x14ac:dyDescent="0.15">
      <c r="G126" s="15"/>
    </row>
    <row r="127" spans="7:7" x14ac:dyDescent="0.15">
      <c r="G127" s="15"/>
    </row>
    <row r="128" spans="7:7" x14ac:dyDescent="0.15">
      <c r="G128" s="15"/>
    </row>
    <row r="129" spans="7:7" x14ac:dyDescent="0.15">
      <c r="G129" s="15"/>
    </row>
    <row r="130" spans="7:7" x14ac:dyDescent="0.15">
      <c r="G130" s="15"/>
    </row>
    <row r="131" spans="7:7" x14ac:dyDescent="0.15">
      <c r="G131" s="15"/>
    </row>
    <row r="132" spans="7:7" x14ac:dyDescent="0.15">
      <c r="G132" s="15"/>
    </row>
    <row r="133" spans="7:7" x14ac:dyDescent="0.15">
      <c r="G133" s="15"/>
    </row>
    <row r="134" spans="7:7" x14ac:dyDescent="0.15">
      <c r="G134" s="15"/>
    </row>
    <row r="135" spans="7:7" x14ac:dyDescent="0.15">
      <c r="G135" s="15"/>
    </row>
    <row r="136" spans="7:7" x14ac:dyDescent="0.15">
      <c r="G136" s="15"/>
    </row>
    <row r="137" spans="7:7" x14ac:dyDescent="0.15">
      <c r="G137" s="15"/>
    </row>
    <row r="138" spans="7:7" x14ac:dyDescent="0.15">
      <c r="G138" s="15"/>
    </row>
    <row r="139" spans="7:7" x14ac:dyDescent="0.15">
      <c r="G139" s="15"/>
    </row>
    <row r="140" spans="7:7" x14ac:dyDescent="0.15">
      <c r="G140" s="15"/>
    </row>
    <row r="141" spans="7:7" x14ac:dyDescent="0.15">
      <c r="G141" s="15"/>
    </row>
    <row r="142" spans="7:7" x14ac:dyDescent="0.15">
      <c r="G142" s="15"/>
    </row>
    <row r="143" spans="7:7" x14ac:dyDescent="0.15">
      <c r="G143" s="15"/>
    </row>
    <row r="144" spans="7:7" x14ac:dyDescent="0.15">
      <c r="G144" s="15"/>
    </row>
    <row r="145" spans="7:7" x14ac:dyDescent="0.15">
      <c r="G145" s="15"/>
    </row>
    <row r="146" spans="7:7" x14ac:dyDescent="0.15">
      <c r="G146" s="15"/>
    </row>
    <row r="147" spans="7:7" x14ac:dyDescent="0.15">
      <c r="G147" s="15"/>
    </row>
    <row r="148" spans="7:7" x14ac:dyDescent="0.15">
      <c r="G148" s="15"/>
    </row>
    <row r="149" spans="7:7" x14ac:dyDescent="0.15">
      <c r="G149" s="15"/>
    </row>
    <row r="150" spans="7:7" x14ac:dyDescent="0.15">
      <c r="G150" s="15"/>
    </row>
    <row r="151" spans="7:7" x14ac:dyDescent="0.15">
      <c r="G151" s="15"/>
    </row>
    <row r="152" spans="7:7" x14ac:dyDescent="0.15">
      <c r="G152" s="15"/>
    </row>
    <row r="153" spans="7:7" x14ac:dyDescent="0.15">
      <c r="G153" s="15"/>
    </row>
    <row r="154" spans="7:7" x14ac:dyDescent="0.15">
      <c r="G154" s="15"/>
    </row>
    <row r="155" spans="7:7" x14ac:dyDescent="0.15">
      <c r="G155" s="15"/>
    </row>
    <row r="156" spans="7:7" x14ac:dyDescent="0.15">
      <c r="G156" s="15"/>
    </row>
    <row r="157" spans="7:7" x14ac:dyDescent="0.15">
      <c r="G157" s="15"/>
    </row>
    <row r="158" spans="7:7" x14ac:dyDescent="0.15">
      <c r="G158" s="15"/>
    </row>
    <row r="159" spans="7:7" x14ac:dyDescent="0.15">
      <c r="G159" s="15"/>
    </row>
    <row r="160" spans="7:7" x14ac:dyDescent="0.15">
      <c r="G160" s="15"/>
    </row>
    <row r="161" spans="7:7" x14ac:dyDescent="0.15">
      <c r="G161" s="15"/>
    </row>
    <row r="162" spans="7:7" x14ac:dyDescent="0.15">
      <c r="G162" s="15"/>
    </row>
    <row r="163" spans="7:7" x14ac:dyDescent="0.15">
      <c r="G163" s="15"/>
    </row>
    <row r="164" spans="7:7" x14ac:dyDescent="0.15">
      <c r="G164" s="15"/>
    </row>
    <row r="165" spans="7:7" x14ac:dyDescent="0.15">
      <c r="G165" s="15"/>
    </row>
    <row r="166" spans="7:7" x14ac:dyDescent="0.15">
      <c r="G166" s="15"/>
    </row>
    <row r="167" spans="7:7" x14ac:dyDescent="0.15">
      <c r="G167" s="15"/>
    </row>
    <row r="168" spans="7:7" x14ac:dyDescent="0.15">
      <c r="G168" s="15"/>
    </row>
    <row r="169" spans="7:7" x14ac:dyDescent="0.15">
      <c r="G169" s="15"/>
    </row>
    <row r="170" spans="7:7" x14ac:dyDescent="0.15">
      <c r="G170" s="15"/>
    </row>
    <row r="171" spans="7:7" x14ac:dyDescent="0.15">
      <c r="G171" s="15"/>
    </row>
    <row r="172" spans="7:7" x14ac:dyDescent="0.15">
      <c r="G172" s="15"/>
    </row>
    <row r="173" spans="7:7" x14ac:dyDescent="0.15">
      <c r="G173" s="15"/>
    </row>
    <row r="174" spans="7:7" x14ac:dyDescent="0.15">
      <c r="G174" s="15"/>
    </row>
    <row r="175" spans="7:7" x14ac:dyDescent="0.15">
      <c r="G175" s="15"/>
    </row>
    <row r="176" spans="7:7" x14ac:dyDescent="0.15">
      <c r="G176" s="15"/>
    </row>
    <row r="177" spans="7:7" x14ac:dyDescent="0.15">
      <c r="G177" s="15"/>
    </row>
    <row r="178" spans="7:7" x14ac:dyDescent="0.15">
      <c r="G178" s="15"/>
    </row>
    <row r="179" spans="7:7" x14ac:dyDescent="0.15">
      <c r="G179" s="15"/>
    </row>
    <row r="180" spans="7:7" x14ac:dyDescent="0.15">
      <c r="G180" s="15"/>
    </row>
    <row r="181" spans="7:7" x14ac:dyDescent="0.15">
      <c r="G181" s="15"/>
    </row>
    <row r="182" spans="7:7" x14ac:dyDescent="0.15">
      <c r="G182" s="15"/>
    </row>
    <row r="183" spans="7:7" x14ac:dyDescent="0.15">
      <c r="G183" s="15"/>
    </row>
    <row r="184" spans="7:7" x14ac:dyDescent="0.15">
      <c r="G184" s="15"/>
    </row>
    <row r="185" spans="7:7" x14ac:dyDescent="0.15">
      <c r="G185" s="15"/>
    </row>
    <row r="186" spans="7:7" x14ac:dyDescent="0.15">
      <c r="G186" s="15"/>
    </row>
    <row r="187" spans="7:7" x14ac:dyDescent="0.15">
      <c r="G187" s="15"/>
    </row>
    <row r="188" spans="7:7" x14ac:dyDescent="0.15">
      <c r="G188" s="15"/>
    </row>
    <row r="189" spans="7:7" x14ac:dyDescent="0.15">
      <c r="G189" s="15"/>
    </row>
    <row r="190" spans="7:7" x14ac:dyDescent="0.15">
      <c r="G190" s="15"/>
    </row>
    <row r="191" spans="7:7" x14ac:dyDescent="0.15">
      <c r="G191" s="15"/>
    </row>
    <row r="192" spans="7:7" x14ac:dyDescent="0.15">
      <c r="G192" s="15"/>
    </row>
    <row r="193" spans="7:7" x14ac:dyDescent="0.15">
      <c r="G193" s="15"/>
    </row>
    <row r="194" spans="7:7" x14ac:dyDescent="0.15">
      <c r="G194" s="15"/>
    </row>
    <row r="195" spans="7:7" x14ac:dyDescent="0.15">
      <c r="G195" s="15"/>
    </row>
    <row r="196" spans="7:7" x14ac:dyDescent="0.15">
      <c r="G196" s="15"/>
    </row>
    <row r="197" spans="7:7" x14ac:dyDescent="0.15">
      <c r="G197" s="15"/>
    </row>
    <row r="198" spans="7:7" x14ac:dyDescent="0.15">
      <c r="G198" s="15"/>
    </row>
    <row r="199" spans="7:7" x14ac:dyDescent="0.15">
      <c r="G199" s="15"/>
    </row>
    <row r="200" spans="7:7" x14ac:dyDescent="0.15">
      <c r="G200" s="15"/>
    </row>
    <row r="201" spans="7:7" x14ac:dyDescent="0.15">
      <c r="G201" s="15"/>
    </row>
    <row r="202" spans="7:7" x14ac:dyDescent="0.15">
      <c r="G202" s="15"/>
    </row>
    <row r="203" spans="7:7" x14ac:dyDescent="0.15">
      <c r="G203" s="15"/>
    </row>
    <row r="204" spans="7:7" x14ac:dyDescent="0.15">
      <c r="G204" s="15"/>
    </row>
    <row r="205" spans="7:7" x14ac:dyDescent="0.15">
      <c r="G205" s="15"/>
    </row>
    <row r="206" spans="7:7" x14ac:dyDescent="0.15">
      <c r="G206" s="15"/>
    </row>
    <row r="207" spans="7:7" x14ac:dyDescent="0.15">
      <c r="G207" s="15"/>
    </row>
    <row r="208" spans="7:7" x14ac:dyDescent="0.15">
      <c r="G208" s="15"/>
    </row>
    <row r="209" spans="7:7" x14ac:dyDescent="0.15">
      <c r="G209" s="15"/>
    </row>
    <row r="210" spans="7:7" x14ac:dyDescent="0.15">
      <c r="G210" s="15"/>
    </row>
    <row r="211" spans="7:7" x14ac:dyDescent="0.15">
      <c r="G211" s="15"/>
    </row>
    <row r="212" spans="7:7" x14ac:dyDescent="0.15">
      <c r="G212" s="15"/>
    </row>
    <row r="213" spans="7:7" x14ac:dyDescent="0.15">
      <c r="G213" s="15"/>
    </row>
    <row r="214" spans="7:7" x14ac:dyDescent="0.15">
      <c r="G214" s="15"/>
    </row>
    <row r="215" spans="7:7" x14ac:dyDescent="0.15">
      <c r="G215" s="15"/>
    </row>
    <row r="216" spans="7:7" x14ac:dyDescent="0.15">
      <c r="G216" s="15"/>
    </row>
    <row r="217" spans="7:7" x14ac:dyDescent="0.15">
      <c r="G217" s="15"/>
    </row>
    <row r="218" spans="7:7" x14ac:dyDescent="0.15">
      <c r="G218" s="15"/>
    </row>
    <row r="219" spans="7:7" x14ac:dyDescent="0.15">
      <c r="G219" s="15"/>
    </row>
    <row r="220" spans="7:7" x14ac:dyDescent="0.15">
      <c r="G220" s="15"/>
    </row>
    <row r="221" spans="7:7" x14ac:dyDescent="0.15">
      <c r="G221" s="15"/>
    </row>
    <row r="222" spans="7:7" x14ac:dyDescent="0.15">
      <c r="G222" s="15"/>
    </row>
    <row r="223" spans="7:7" x14ac:dyDescent="0.15">
      <c r="G223" s="15"/>
    </row>
    <row r="224" spans="7:7" x14ac:dyDescent="0.15">
      <c r="G224" s="15"/>
    </row>
    <row r="225" spans="7:7" x14ac:dyDescent="0.15">
      <c r="G225" s="15"/>
    </row>
    <row r="226" spans="7:7" x14ac:dyDescent="0.15">
      <c r="G226" s="15"/>
    </row>
    <row r="227" spans="7:7" x14ac:dyDescent="0.15">
      <c r="G227" s="15"/>
    </row>
    <row r="228" spans="7:7" x14ac:dyDescent="0.15">
      <c r="G228" s="15"/>
    </row>
    <row r="229" spans="7:7" x14ac:dyDescent="0.15">
      <c r="G229" s="15"/>
    </row>
    <row r="230" spans="7:7" x14ac:dyDescent="0.15">
      <c r="G230" s="15"/>
    </row>
    <row r="231" spans="7:7" x14ac:dyDescent="0.15">
      <c r="G231" s="15"/>
    </row>
    <row r="232" spans="7:7" x14ac:dyDescent="0.15">
      <c r="G232" s="15"/>
    </row>
    <row r="233" spans="7:7" x14ac:dyDescent="0.15">
      <c r="G233" s="15"/>
    </row>
    <row r="234" spans="7:7" x14ac:dyDescent="0.15">
      <c r="G234" s="15"/>
    </row>
    <row r="235" spans="7:7" x14ac:dyDescent="0.15">
      <c r="G235" s="15"/>
    </row>
  </sheetData>
  <dataConsolidate/>
  <mergeCells count="1">
    <mergeCell ref="M5:V5"/>
  </mergeCells>
  <phoneticPr fontId="2" type="noConversion"/>
  <dataValidations count="8">
    <dataValidation type="list" allowBlank="1" showInputMessage="1" showErrorMessage="1" sqref="H2" xr:uid="{16D72C36-B8F8-416B-838B-FB891630E8D9}">
      <formula1>$K$9:$K$15</formula1>
    </dataValidation>
    <dataValidation type="list" allowBlank="1" showInputMessage="1" showErrorMessage="1" sqref="G2" xr:uid="{D2734DE1-2B52-40DD-9A21-81D6BD485BBA}">
      <formula1>$J$9:$J$24</formula1>
    </dataValidation>
    <dataValidation type="list" allowBlank="1" showInputMessage="1" showErrorMessage="1" sqref="K6" xr:uid="{127415A6-2694-420C-A4B1-A765245DC031}">
      <formula1>"是,否"</formula1>
    </dataValidation>
    <dataValidation type="whole" allowBlank="1" showInputMessage="1" showErrorMessage="1" sqref="C2" xr:uid="{98DE5B67-6D6D-460A-BAF2-7F33D5B36DFA}">
      <formula1>120</formula1>
      <formula2>312</formula2>
    </dataValidation>
    <dataValidation type="list" allowBlank="1" showInputMessage="1" showErrorMessage="1" sqref="F6" xr:uid="{AB50EF9E-2BE2-4691-8455-DB9584352E65}">
      <formula1>"ABB,国产"</formula1>
    </dataValidation>
    <dataValidation type="decimal" allowBlank="1" showInputMessage="1" showErrorMessage="1" sqref="F2" xr:uid="{0AE3A9B5-CE66-460D-A1D0-BE39DCF639FC}">
      <formula1>0.9</formula1>
      <formula2>1</formula2>
    </dataValidation>
    <dataValidation type="decimal" allowBlank="1" showInputMessage="1" showErrorMessage="1" sqref="E2" xr:uid="{C7AE9A80-016C-4942-8117-EEEDE38307CA}">
      <formula1>0.8</formula1>
      <formula2>1</formula2>
    </dataValidation>
    <dataValidation type="list" allowBlank="1" showInputMessage="1" showErrorMessage="1" sqref="D2" xr:uid="{A3F33FCD-40C0-4A4C-8685-E6D6E10F6A82}">
      <formula1>"1,,2,3,4"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E413F2-BB12-4A90-8479-49E1B8394222}">
          <x14:formula1>
            <xm:f>UPS!$A$2:$A$33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33"/>
  <sheetViews>
    <sheetView zoomScaleNormal="100" zoomScaleSheetLayoutView="100" workbookViewId="0">
      <selection activeCell="F28" sqref="F28"/>
    </sheetView>
  </sheetViews>
  <sheetFormatPr defaultRowHeight="14.25" x14ac:dyDescent="0.15"/>
  <cols>
    <col min="1" max="1" width="20.125" style="1" customWidth="1"/>
  </cols>
  <sheetData>
    <row r="1" spans="1:2" ht="15.75" customHeight="1" x14ac:dyDescent="0.25">
      <c r="A1" s="2" t="s">
        <v>0</v>
      </c>
    </row>
    <row r="2" spans="1:2" x14ac:dyDescent="0.15">
      <c r="A2" s="3">
        <v>3</v>
      </c>
      <c r="B2" s="8"/>
    </row>
    <row r="3" spans="1:2" ht="15.75" customHeight="1" x14ac:dyDescent="0.25">
      <c r="A3" s="2">
        <v>6</v>
      </c>
      <c r="B3" s="8"/>
    </row>
    <row r="4" spans="1:2" ht="15.75" customHeight="1" x14ac:dyDescent="0.25">
      <c r="A4" s="2">
        <v>10</v>
      </c>
      <c r="B4" s="8"/>
    </row>
    <row r="5" spans="1:2" ht="15.75" customHeight="1" x14ac:dyDescent="0.25">
      <c r="A5" s="2">
        <v>15</v>
      </c>
      <c r="B5" s="8"/>
    </row>
    <row r="6" spans="1:2" ht="15.75" customHeight="1" x14ac:dyDescent="0.25">
      <c r="A6" s="2">
        <v>20</v>
      </c>
      <c r="B6" s="8"/>
    </row>
    <row r="7" spans="1:2" ht="15.75" customHeight="1" x14ac:dyDescent="0.25">
      <c r="A7" s="2">
        <v>25</v>
      </c>
      <c r="B7" s="8"/>
    </row>
    <row r="8" spans="1:2" x14ac:dyDescent="0.15">
      <c r="A8" s="3">
        <v>30</v>
      </c>
      <c r="B8" s="8"/>
    </row>
    <row r="9" spans="1:2" ht="15.75" customHeight="1" x14ac:dyDescent="0.25">
      <c r="A9" s="2">
        <v>40</v>
      </c>
      <c r="B9" s="8"/>
    </row>
    <row r="10" spans="1:2" x14ac:dyDescent="0.15">
      <c r="A10" s="3">
        <v>45</v>
      </c>
      <c r="B10" s="8"/>
    </row>
    <row r="11" spans="1:2" x14ac:dyDescent="0.15">
      <c r="A11" s="3">
        <v>50</v>
      </c>
      <c r="B11" s="8"/>
    </row>
    <row r="12" spans="1:2" ht="15.75" customHeight="1" x14ac:dyDescent="0.25">
      <c r="A12" s="2">
        <v>60</v>
      </c>
      <c r="B12" s="8"/>
    </row>
    <row r="13" spans="1:2" ht="15.75" customHeight="1" x14ac:dyDescent="0.25">
      <c r="A13" s="2">
        <v>75</v>
      </c>
      <c r="B13" s="8"/>
    </row>
    <row r="14" spans="1:2" ht="15.75" customHeight="1" x14ac:dyDescent="0.25">
      <c r="A14" s="2">
        <v>80</v>
      </c>
      <c r="B14" s="8"/>
    </row>
    <row r="15" spans="1:2" ht="15.75" customHeight="1" x14ac:dyDescent="0.25">
      <c r="A15" s="2">
        <v>90</v>
      </c>
      <c r="B15" s="8"/>
    </row>
    <row r="16" spans="1:2" ht="15.75" customHeight="1" x14ac:dyDescent="0.25">
      <c r="A16" s="2">
        <v>100</v>
      </c>
      <c r="B16" s="8"/>
    </row>
    <row r="17" spans="1:2" ht="15.75" customHeight="1" x14ac:dyDescent="0.25">
      <c r="A17" s="2">
        <v>120</v>
      </c>
      <c r="B17" s="8"/>
    </row>
    <row r="18" spans="1:2" ht="15.75" customHeight="1" x14ac:dyDescent="0.25">
      <c r="A18" s="2">
        <v>125</v>
      </c>
      <c r="B18" s="8"/>
    </row>
    <row r="19" spans="1:2" ht="15.75" customHeight="1" x14ac:dyDescent="0.25">
      <c r="A19" s="2">
        <v>150</v>
      </c>
      <c r="B19" s="8"/>
    </row>
    <row r="20" spans="1:2" ht="15.75" customHeight="1" x14ac:dyDescent="0.25">
      <c r="A20" s="2">
        <v>180</v>
      </c>
      <c r="B20" s="8"/>
    </row>
    <row r="21" spans="1:2" ht="15.75" customHeight="1" x14ac:dyDescent="0.25">
      <c r="A21" s="2">
        <v>200</v>
      </c>
      <c r="B21" s="8"/>
    </row>
    <row r="22" spans="1:2" ht="15.75" customHeight="1" x14ac:dyDescent="0.25">
      <c r="A22" s="2">
        <v>250</v>
      </c>
      <c r="B22" s="8"/>
    </row>
    <row r="23" spans="1:2" ht="15.75" customHeight="1" x14ac:dyDescent="0.25">
      <c r="A23" s="2">
        <v>300</v>
      </c>
      <c r="B23" s="8"/>
    </row>
    <row r="24" spans="1:2" ht="15.75" customHeight="1" x14ac:dyDescent="0.25">
      <c r="A24" s="2">
        <v>350</v>
      </c>
      <c r="B24" s="8"/>
    </row>
    <row r="25" spans="1:2" ht="15.75" customHeight="1" x14ac:dyDescent="0.25">
      <c r="A25" s="2">
        <v>400</v>
      </c>
      <c r="B25" s="8"/>
    </row>
    <row r="26" spans="1:2" ht="15.75" customHeight="1" x14ac:dyDescent="0.25">
      <c r="A26" s="2">
        <v>450</v>
      </c>
      <c r="B26" s="8"/>
    </row>
    <row r="27" spans="1:2" ht="15.75" customHeight="1" x14ac:dyDescent="0.25">
      <c r="A27" s="2">
        <v>500</v>
      </c>
      <c r="B27" s="8"/>
    </row>
    <row r="28" spans="1:2" x14ac:dyDescent="0.15">
      <c r="A28" s="3">
        <v>550</v>
      </c>
      <c r="B28" s="8"/>
    </row>
    <row r="29" spans="1:2" x14ac:dyDescent="0.15">
      <c r="A29" s="3">
        <v>600</v>
      </c>
      <c r="B29" s="8"/>
    </row>
    <row r="30" spans="1:2" x14ac:dyDescent="0.15">
      <c r="A30" s="3">
        <v>650</v>
      </c>
      <c r="B30" s="8"/>
    </row>
    <row r="31" spans="1:2" ht="15.75" customHeight="1" x14ac:dyDescent="0.25">
      <c r="A31" s="2">
        <v>700</v>
      </c>
      <c r="B31" s="8"/>
    </row>
    <row r="32" spans="1:2" ht="15.75" customHeight="1" x14ac:dyDescent="0.25">
      <c r="A32" s="2">
        <v>750</v>
      </c>
      <c r="B32" s="8"/>
    </row>
    <row r="33" spans="1:2" ht="15.75" customHeight="1" x14ac:dyDescent="0.25">
      <c r="A33" s="2">
        <v>800</v>
      </c>
      <c r="B33" s="8"/>
    </row>
  </sheetData>
  <phoneticPr fontId="2" type="noConversion"/>
  <pageMargins left="0.74782315201646699" right="0.74782315201646699" top="0.75198932895510218" bottom="0.75198932895510218" header="0.49993747801292604" footer="0.49993747801292604"/>
  <pageSetup paperSize="9" firstPageNumber="4294967295" orientation="portrait" horizontalDpi="4294967293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22"/>
  <sheetViews>
    <sheetView zoomScale="130" zoomScaleNormal="130" zoomScaleSheetLayoutView="100" workbookViewId="0">
      <selection activeCell="F28" sqref="F28"/>
    </sheetView>
  </sheetViews>
  <sheetFormatPr defaultRowHeight="14.25" x14ac:dyDescent="0.15"/>
  <cols>
    <col min="1" max="1" width="20.125" style="1" customWidth="1"/>
  </cols>
  <sheetData>
    <row r="1" spans="1:1" ht="15.75" customHeight="1" x14ac:dyDescent="0.25">
      <c r="A1" s="6" t="s">
        <v>3</v>
      </c>
    </row>
    <row r="2" spans="1:1" ht="15.75" customHeight="1" x14ac:dyDescent="0.25">
      <c r="A2" s="2">
        <v>16</v>
      </c>
    </row>
    <row r="3" spans="1:1" ht="15.75" customHeight="1" x14ac:dyDescent="0.25">
      <c r="A3" s="2">
        <v>20</v>
      </c>
    </row>
    <row r="4" spans="1:1" ht="15.75" customHeight="1" x14ac:dyDescent="0.25">
      <c r="A4" s="2">
        <v>32</v>
      </c>
    </row>
    <row r="5" spans="1:1" ht="15.75" customHeight="1" x14ac:dyDescent="0.25">
      <c r="A5" s="2">
        <v>40</v>
      </c>
    </row>
    <row r="6" spans="1:1" x14ac:dyDescent="0.15">
      <c r="A6" s="3">
        <v>50</v>
      </c>
    </row>
    <row r="7" spans="1:1" ht="15.75" customHeight="1" x14ac:dyDescent="0.25">
      <c r="A7" s="2">
        <v>63</v>
      </c>
    </row>
    <row r="8" spans="1:1" x14ac:dyDescent="0.15">
      <c r="A8" s="3">
        <v>80</v>
      </c>
    </row>
    <row r="9" spans="1:1" ht="15.75" customHeight="1" x14ac:dyDescent="0.25">
      <c r="A9" s="2">
        <v>100</v>
      </c>
    </row>
    <row r="10" spans="1:1" ht="15.75" customHeight="1" x14ac:dyDescent="0.25">
      <c r="A10" s="2">
        <v>160</v>
      </c>
    </row>
    <row r="11" spans="1:1" ht="15.75" customHeight="1" x14ac:dyDescent="0.25">
      <c r="A11" s="2">
        <v>200</v>
      </c>
    </row>
    <row r="12" spans="1:1" ht="15.75" customHeight="1" x14ac:dyDescent="0.25">
      <c r="A12" s="2">
        <v>250</v>
      </c>
    </row>
    <row r="13" spans="1:1" ht="15.75" customHeight="1" x14ac:dyDescent="0.25">
      <c r="A13" s="2">
        <v>320</v>
      </c>
    </row>
    <row r="14" spans="1:1" ht="15.75" customHeight="1" x14ac:dyDescent="0.25">
      <c r="A14" s="2">
        <v>400</v>
      </c>
    </row>
    <row r="15" spans="1:1" ht="15.75" customHeight="1" x14ac:dyDescent="0.25">
      <c r="A15" s="2">
        <v>500</v>
      </c>
    </row>
    <row r="16" spans="1:1" ht="15.75" customHeight="1" x14ac:dyDescent="0.25">
      <c r="A16" s="2">
        <v>630</v>
      </c>
    </row>
    <row r="17" spans="1:1" ht="15.75" customHeight="1" x14ac:dyDescent="0.25">
      <c r="A17" s="2">
        <v>800</v>
      </c>
    </row>
    <row r="18" spans="1:1" ht="15.75" customHeight="1" x14ac:dyDescent="0.25">
      <c r="A18" s="2">
        <v>1000</v>
      </c>
    </row>
    <row r="19" spans="1:1" ht="15.75" customHeight="1" x14ac:dyDescent="0.25">
      <c r="A19" s="2">
        <v>1250</v>
      </c>
    </row>
    <row r="20" spans="1:1" ht="15.75" customHeight="1" x14ac:dyDescent="0.25">
      <c r="A20" s="2">
        <v>1600</v>
      </c>
    </row>
    <row r="21" spans="1:1" ht="15.75" customHeight="1" x14ac:dyDescent="0.25">
      <c r="A21" s="2">
        <v>2000</v>
      </c>
    </row>
    <row r="22" spans="1:1" x14ac:dyDescent="0.15">
      <c r="A22" s="1">
        <v>2500</v>
      </c>
    </row>
  </sheetData>
  <autoFilter ref="A1:A21" xr:uid="{00000000-0009-0000-0000-000002000000}"/>
  <phoneticPr fontId="6" type="noConversion"/>
  <pageMargins left="0.74782315201646699" right="0.74782315201646699" top="0.75198932895510218" bottom="0.75198932895510218" header="0.49993747801292604" footer="0.49993747801292604"/>
  <pageSetup paperSize="9" firstPageNumber="4294967295" orientation="portrait" horizontalDpi="4294967293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O319"/>
  <sheetViews>
    <sheetView tabSelected="1" topLeftCell="A280" zoomScaleNormal="100" workbookViewId="0">
      <selection activeCell="G15" sqref="G15"/>
    </sheetView>
  </sheetViews>
  <sheetFormatPr defaultRowHeight="14.25" x14ac:dyDescent="0.15"/>
  <cols>
    <col min="1" max="1" width="10.5" style="5" bestFit="1" customWidth="1"/>
    <col min="2" max="2" width="8.875" style="4" bestFit="1" customWidth="1"/>
    <col min="3" max="8" width="6.5" style="4" bestFit="1" customWidth="1"/>
    <col min="9" max="12" width="7.5" style="4" bestFit="1" customWidth="1"/>
    <col min="13" max="14" width="8.5" style="4" bestFit="1" customWidth="1"/>
    <col min="15" max="15" width="8.5" bestFit="1" customWidth="1"/>
  </cols>
  <sheetData>
    <row r="1" spans="1:15" s="29" customFormat="1" x14ac:dyDescent="0.15">
      <c r="A1" s="27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15" x14ac:dyDescent="0.15">
      <c r="A2" s="26" t="s">
        <v>125</v>
      </c>
      <c r="B2" s="26" t="s">
        <v>10</v>
      </c>
      <c r="C2" s="26" t="s">
        <v>126</v>
      </c>
      <c r="D2" s="26" t="s">
        <v>127</v>
      </c>
      <c r="E2" s="26" t="s">
        <v>128</v>
      </c>
      <c r="F2" s="26" t="s">
        <v>129</v>
      </c>
      <c r="G2" s="26" t="s">
        <v>130</v>
      </c>
      <c r="H2" s="26" t="s">
        <v>131</v>
      </c>
      <c r="I2" s="26" t="s">
        <v>132</v>
      </c>
      <c r="J2" s="26" t="s">
        <v>133</v>
      </c>
      <c r="K2" s="26" t="s">
        <v>134</v>
      </c>
      <c r="L2" s="26" t="s">
        <v>135</v>
      </c>
      <c r="M2" s="26" t="s">
        <v>136</v>
      </c>
      <c r="N2" s="26" t="s">
        <v>137</v>
      </c>
      <c r="O2" s="26" t="s">
        <v>138</v>
      </c>
    </row>
    <row r="3" spans="1:15" x14ac:dyDescent="0.15">
      <c r="A3" s="7">
        <v>1.85</v>
      </c>
      <c r="B3" s="10">
        <v>130.19999999999999</v>
      </c>
      <c r="C3" s="10">
        <v>98.1</v>
      </c>
      <c r="D3" s="10">
        <v>81.8</v>
      </c>
      <c r="E3" s="10">
        <v>69.400000000000006</v>
      </c>
      <c r="F3" s="10">
        <v>53.9</v>
      </c>
      <c r="G3" s="10">
        <v>35.6</v>
      </c>
      <c r="H3" s="10">
        <v>27</v>
      </c>
      <c r="I3" s="10">
        <v>21.8</v>
      </c>
      <c r="J3" s="10">
        <v>16.399999999999999</v>
      </c>
      <c r="K3" s="10">
        <v>13.2</v>
      </c>
      <c r="L3" s="10">
        <v>11.1</v>
      </c>
      <c r="M3" s="10">
        <v>7.65</v>
      </c>
      <c r="N3" s="10">
        <v>6.38</v>
      </c>
      <c r="O3" s="10">
        <v>3.54</v>
      </c>
    </row>
    <row r="4" spans="1:15" x14ac:dyDescent="0.15">
      <c r="A4" s="7">
        <v>1.8</v>
      </c>
      <c r="B4" s="10">
        <v>149.5</v>
      </c>
      <c r="C4" s="10">
        <v>114.3</v>
      </c>
      <c r="D4" s="10">
        <v>94.1</v>
      </c>
      <c r="E4" s="10">
        <v>79.2</v>
      </c>
      <c r="F4" s="10">
        <v>60.4</v>
      </c>
      <c r="G4" s="10">
        <v>39.1</v>
      </c>
      <c r="H4" s="10">
        <v>29.4</v>
      </c>
      <c r="I4" s="10">
        <v>23.6</v>
      </c>
      <c r="J4" s="10">
        <v>17.7</v>
      </c>
      <c r="K4" s="10">
        <v>14.2</v>
      </c>
      <c r="L4" s="10">
        <v>11.9</v>
      </c>
      <c r="M4" s="10">
        <v>8.17</v>
      </c>
      <c r="N4" s="10">
        <v>6.8</v>
      </c>
      <c r="O4" s="10">
        <v>3.73</v>
      </c>
    </row>
    <row r="5" spans="1:15" x14ac:dyDescent="0.15">
      <c r="A5" s="7">
        <v>1.75</v>
      </c>
      <c r="B5" s="10">
        <v>160.69999999999999</v>
      </c>
      <c r="C5" s="10">
        <v>121.1</v>
      </c>
      <c r="D5" s="10">
        <v>98.5</v>
      </c>
      <c r="E5" s="10">
        <v>82.3</v>
      </c>
      <c r="F5" s="10">
        <v>62.6</v>
      </c>
      <c r="G5" s="10">
        <v>40.299999999999997</v>
      </c>
      <c r="H5" s="10">
        <v>30.2</v>
      </c>
      <c r="I5" s="10">
        <v>24.1</v>
      </c>
      <c r="J5" s="10">
        <v>18.100000000000001</v>
      </c>
      <c r="K5" s="10">
        <v>14.5</v>
      </c>
      <c r="L5" s="10">
        <v>12.1</v>
      </c>
      <c r="M5" s="10">
        <v>8.3000000000000007</v>
      </c>
      <c r="N5" s="10">
        <v>6.9</v>
      </c>
      <c r="O5" s="10">
        <v>3.77</v>
      </c>
    </row>
    <row r="6" spans="1:15" x14ac:dyDescent="0.15">
      <c r="A6" s="7">
        <v>1.7</v>
      </c>
      <c r="B6" s="10">
        <v>171.2</v>
      </c>
      <c r="C6" s="10">
        <v>127.4</v>
      </c>
      <c r="D6" s="10">
        <v>102.9</v>
      </c>
      <c r="E6" s="10">
        <v>85.7</v>
      </c>
      <c r="F6" s="10">
        <v>64.7</v>
      </c>
      <c r="G6" s="10">
        <v>41.5</v>
      </c>
      <c r="H6" s="10">
        <v>31</v>
      </c>
      <c r="I6" s="10">
        <v>24.8</v>
      </c>
      <c r="J6" s="10">
        <v>18.5</v>
      </c>
      <c r="K6" s="10">
        <v>14.8</v>
      </c>
      <c r="L6" s="10">
        <v>12.4</v>
      </c>
      <c r="M6" s="10">
        <v>8.43</v>
      </c>
      <c r="N6" s="10">
        <v>6.99</v>
      </c>
      <c r="O6" s="10">
        <v>3.82</v>
      </c>
    </row>
    <row r="7" spans="1:15" x14ac:dyDescent="0.15">
      <c r="A7" s="25">
        <v>1.67</v>
      </c>
      <c r="B7" s="10">
        <v>177</v>
      </c>
      <c r="C7" s="10">
        <v>131.1</v>
      </c>
      <c r="D7" s="10">
        <v>106.5</v>
      </c>
      <c r="E7" s="10">
        <v>87.6</v>
      </c>
      <c r="F7" s="10">
        <v>66</v>
      </c>
      <c r="G7" s="10">
        <v>42.1</v>
      </c>
      <c r="H7" s="10">
        <v>31.4</v>
      </c>
      <c r="I7" s="10">
        <v>25.1</v>
      </c>
      <c r="J7" s="10">
        <v>18.8</v>
      </c>
      <c r="K7" s="10">
        <v>14.9</v>
      </c>
      <c r="L7" s="10">
        <v>12.5</v>
      </c>
      <c r="M7" s="10">
        <v>8.51</v>
      </c>
      <c r="N7" s="10">
        <v>7.05</v>
      </c>
      <c r="O7" s="10">
        <v>3.84</v>
      </c>
    </row>
    <row r="8" spans="1:15" x14ac:dyDescent="0.15">
      <c r="A8" s="25">
        <v>1.6</v>
      </c>
      <c r="B8" s="10">
        <v>190.2</v>
      </c>
      <c r="C8" s="10">
        <v>138.9</v>
      </c>
      <c r="D8" s="10">
        <v>111.1</v>
      </c>
      <c r="E8" s="10">
        <v>91.8</v>
      </c>
      <c r="F8" s="10">
        <v>68.900000000000006</v>
      </c>
      <c r="G8" s="10">
        <v>43.8</v>
      </c>
      <c r="H8" s="10">
        <v>32.6</v>
      </c>
      <c r="I8" s="10">
        <v>26</v>
      </c>
      <c r="J8" s="10">
        <v>19.3</v>
      </c>
      <c r="K8" s="10">
        <v>15.4</v>
      </c>
      <c r="L8" s="10">
        <v>12.8</v>
      </c>
      <c r="M8" s="10">
        <v>8.68</v>
      </c>
      <c r="N8" s="10">
        <v>7.18</v>
      </c>
      <c r="O8" s="10">
        <v>3.91</v>
      </c>
    </row>
    <row r="9" spans="1:15" s="29" customFormat="1" x14ac:dyDescent="0.15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1:15" s="29" customFormat="1" x14ac:dyDescent="0.15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</row>
    <row r="11" spans="1:15" x14ac:dyDescent="0.15">
      <c r="A11" s="24" t="s">
        <v>139</v>
      </c>
      <c r="B11" s="24" t="s">
        <v>10</v>
      </c>
      <c r="C11" s="24" t="s">
        <v>126</v>
      </c>
      <c r="D11" s="24" t="s">
        <v>127</v>
      </c>
      <c r="E11" s="24" t="s">
        <v>128</v>
      </c>
      <c r="F11" s="24" t="s">
        <v>129</v>
      </c>
      <c r="G11" s="24" t="s">
        <v>130</v>
      </c>
      <c r="H11" s="24" t="s">
        <v>131</v>
      </c>
      <c r="I11" s="24" t="s">
        <v>132</v>
      </c>
      <c r="J11" s="24" t="s">
        <v>133</v>
      </c>
      <c r="K11" s="24" t="s">
        <v>134</v>
      </c>
      <c r="L11" s="24" t="s">
        <v>135</v>
      </c>
      <c r="M11" s="24" t="s">
        <v>136</v>
      </c>
      <c r="N11" s="24" t="s">
        <v>137</v>
      </c>
      <c r="O11" s="24" t="s">
        <v>138</v>
      </c>
    </row>
    <row r="12" spans="1:15" x14ac:dyDescent="0.15">
      <c r="A12" s="7">
        <v>1.85</v>
      </c>
      <c r="B12" s="7">
        <v>171.4</v>
      </c>
      <c r="C12" s="7">
        <v>129.1</v>
      </c>
      <c r="D12" s="7">
        <v>107.6</v>
      </c>
      <c r="E12" s="7">
        <v>91.3</v>
      </c>
      <c r="F12" s="7">
        <v>70.900000000000006</v>
      </c>
      <c r="G12" s="7">
        <v>46.8</v>
      </c>
      <c r="H12" s="7">
        <v>35.5</v>
      </c>
      <c r="I12" s="7">
        <v>28.6</v>
      </c>
      <c r="J12" s="7">
        <v>21.6</v>
      </c>
      <c r="K12" s="7">
        <v>17.3</v>
      </c>
      <c r="L12" s="7">
        <v>14.6</v>
      </c>
      <c r="M12" s="7">
        <v>10.1</v>
      </c>
      <c r="N12" s="7">
        <v>8.4</v>
      </c>
      <c r="O12" s="7">
        <v>4.6500000000000004</v>
      </c>
    </row>
    <row r="13" spans="1:15" x14ac:dyDescent="0.15">
      <c r="A13" s="7">
        <v>1.8</v>
      </c>
      <c r="B13" s="7">
        <v>196.7</v>
      </c>
      <c r="C13" s="7">
        <v>150.4</v>
      </c>
      <c r="D13" s="7">
        <v>123.8</v>
      </c>
      <c r="E13" s="7">
        <v>104.2</v>
      </c>
      <c r="F13" s="7">
        <v>79.400000000000006</v>
      </c>
      <c r="G13" s="7">
        <v>51.5</v>
      </c>
      <c r="H13" s="7">
        <v>38.6</v>
      </c>
      <c r="I13" s="7">
        <v>31</v>
      </c>
      <c r="J13" s="7">
        <v>23.3</v>
      </c>
      <c r="K13" s="7">
        <v>18.600000000000001</v>
      </c>
      <c r="L13" s="7">
        <v>15.6</v>
      </c>
      <c r="M13" s="7">
        <v>10.7</v>
      </c>
      <c r="N13" s="7">
        <v>8.9499999999999993</v>
      </c>
      <c r="O13" s="7">
        <v>4.9000000000000004</v>
      </c>
    </row>
    <row r="14" spans="1:15" x14ac:dyDescent="0.15">
      <c r="A14" s="7">
        <v>1.75</v>
      </c>
      <c r="B14" s="7">
        <v>211.4</v>
      </c>
      <c r="C14" s="7">
        <v>159.30000000000001</v>
      </c>
      <c r="D14" s="7">
        <v>129.6</v>
      </c>
      <c r="E14" s="7">
        <v>108.2</v>
      </c>
      <c r="F14" s="7">
        <v>82.3</v>
      </c>
      <c r="G14" s="7">
        <v>53</v>
      </c>
      <c r="H14" s="7">
        <v>39.700000000000003</v>
      </c>
      <c r="I14" s="7">
        <v>31.8</v>
      </c>
      <c r="J14" s="7">
        <v>23.8</v>
      </c>
      <c r="K14" s="7">
        <v>19</v>
      </c>
      <c r="L14" s="7">
        <v>15.9</v>
      </c>
      <c r="M14" s="7">
        <v>10.9</v>
      </c>
      <c r="N14" s="7">
        <v>9.07</v>
      </c>
      <c r="O14" s="7">
        <v>4.96</v>
      </c>
    </row>
    <row r="15" spans="1:15" x14ac:dyDescent="0.15">
      <c r="A15" s="7">
        <v>1.7</v>
      </c>
      <c r="B15" s="7">
        <v>225.2</v>
      </c>
      <c r="C15" s="7">
        <v>167.7</v>
      </c>
      <c r="D15" s="7">
        <v>135.4</v>
      </c>
      <c r="E15" s="7">
        <v>112.8</v>
      </c>
      <c r="F15" s="7">
        <v>85.2</v>
      </c>
      <c r="G15" s="7">
        <v>54.5</v>
      </c>
      <c r="H15" s="7">
        <v>40.799999999999997</v>
      </c>
      <c r="I15" s="7">
        <v>32.6</v>
      </c>
      <c r="J15" s="7">
        <v>24.4</v>
      </c>
      <c r="K15" s="7">
        <v>19.399999999999999</v>
      </c>
      <c r="L15" s="7">
        <v>16.3</v>
      </c>
      <c r="M15" s="7">
        <v>11.1</v>
      </c>
      <c r="N15" s="7">
        <v>9.1999999999999993</v>
      </c>
      <c r="O15" s="7">
        <v>5.0199999999999996</v>
      </c>
    </row>
    <row r="16" spans="1:15" x14ac:dyDescent="0.15">
      <c r="A16" s="25">
        <v>1.67</v>
      </c>
      <c r="B16" s="7">
        <v>232.9</v>
      </c>
      <c r="C16" s="7">
        <v>172.5</v>
      </c>
      <c r="D16" s="7">
        <v>140.1</v>
      </c>
      <c r="E16" s="7">
        <v>115.2</v>
      </c>
      <c r="F16" s="7">
        <v>86.9</v>
      </c>
      <c r="G16" s="7">
        <v>55.4</v>
      </c>
      <c r="H16" s="7">
        <v>41.4</v>
      </c>
      <c r="I16" s="7">
        <v>33</v>
      </c>
      <c r="J16" s="7">
        <v>24.7</v>
      </c>
      <c r="K16" s="7">
        <v>19.7</v>
      </c>
      <c r="L16" s="7">
        <v>16.399999999999999</v>
      </c>
      <c r="M16" s="7">
        <v>11.2</v>
      </c>
      <c r="N16" s="7">
        <v>9.27</v>
      </c>
      <c r="O16" s="7">
        <v>5.0599999999999996</v>
      </c>
    </row>
    <row r="17" spans="1:15" x14ac:dyDescent="0.15">
      <c r="A17" s="25">
        <v>1.6</v>
      </c>
      <c r="B17" s="7">
        <v>250.3</v>
      </c>
      <c r="C17" s="7">
        <v>182.8</v>
      </c>
      <c r="D17" s="7">
        <v>146.1</v>
      </c>
      <c r="E17" s="7">
        <v>120.8</v>
      </c>
      <c r="F17" s="7">
        <v>90.6</v>
      </c>
      <c r="G17" s="7">
        <v>57.6</v>
      </c>
      <c r="H17" s="7">
        <v>42.9</v>
      </c>
      <c r="I17" s="7">
        <v>34.200000000000003</v>
      </c>
      <c r="J17" s="7">
        <v>25.5</v>
      </c>
      <c r="K17" s="7">
        <v>20.2</v>
      </c>
      <c r="L17" s="7">
        <v>16.899999999999999</v>
      </c>
      <c r="M17" s="7">
        <v>11.4</v>
      </c>
      <c r="N17" s="7">
        <v>9.4499999999999993</v>
      </c>
      <c r="O17" s="7">
        <v>5.14</v>
      </c>
    </row>
    <row r="18" spans="1:15" s="29" customFormat="1" x14ac:dyDescent="0.15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5" x14ac:dyDescent="0.15">
      <c r="A19" s="24" t="s">
        <v>140</v>
      </c>
      <c r="B19" s="24" t="s">
        <v>10</v>
      </c>
      <c r="C19" s="24" t="s">
        <v>126</v>
      </c>
      <c r="D19" s="24" t="s">
        <v>127</v>
      </c>
      <c r="E19" s="24" t="s">
        <v>128</v>
      </c>
      <c r="F19" s="24" t="s">
        <v>129</v>
      </c>
      <c r="G19" s="24" t="s">
        <v>130</v>
      </c>
      <c r="H19" s="24" t="s">
        <v>131</v>
      </c>
      <c r="I19" s="24" t="s">
        <v>132</v>
      </c>
      <c r="J19" s="24" t="s">
        <v>133</v>
      </c>
      <c r="K19" s="24" t="s">
        <v>134</v>
      </c>
      <c r="L19" s="24" t="s">
        <v>135</v>
      </c>
      <c r="M19" s="24" t="s">
        <v>136</v>
      </c>
      <c r="N19" s="24" t="s">
        <v>137</v>
      </c>
      <c r="O19" s="24" t="s">
        <v>138</v>
      </c>
    </row>
    <row r="20" spans="1:15" x14ac:dyDescent="0.15">
      <c r="A20" s="7">
        <v>1.85</v>
      </c>
      <c r="B20" s="7">
        <v>242.5</v>
      </c>
      <c r="C20" s="10">
        <v>173.7</v>
      </c>
      <c r="D20" s="10">
        <v>158.6</v>
      </c>
      <c r="E20" s="10">
        <v>125.3</v>
      </c>
      <c r="F20" s="10">
        <v>112.6</v>
      </c>
      <c r="G20" s="10">
        <v>70.599999999999994</v>
      </c>
      <c r="H20" s="10">
        <v>51.3</v>
      </c>
      <c r="I20" s="10">
        <v>43.3</v>
      </c>
      <c r="J20" s="10">
        <v>31.9</v>
      </c>
      <c r="K20" s="10">
        <v>25.1</v>
      </c>
      <c r="L20" s="10">
        <v>21.9</v>
      </c>
      <c r="M20" s="10">
        <v>14.9</v>
      </c>
      <c r="N20" s="10">
        <v>12.4</v>
      </c>
      <c r="O20" s="10">
        <v>6.59</v>
      </c>
    </row>
    <row r="21" spans="1:15" x14ac:dyDescent="0.15">
      <c r="A21" s="7">
        <v>1.8</v>
      </c>
      <c r="B21" s="10">
        <v>271.2</v>
      </c>
      <c r="C21" s="10">
        <v>194.3</v>
      </c>
      <c r="D21" s="10">
        <v>177.5</v>
      </c>
      <c r="E21" s="10">
        <v>140.19999999999999</v>
      </c>
      <c r="F21" s="10">
        <v>121.6</v>
      </c>
      <c r="G21" s="10">
        <v>72.7</v>
      </c>
      <c r="H21" s="10">
        <v>52.8</v>
      </c>
      <c r="I21" s="10">
        <v>44.4</v>
      </c>
      <c r="J21" s="10">
        <v>34.4</v>
      </c>
      <c r="K21" s="10">
        <v>26.7</v>
      </c>
      <c r="L21" s="10">
        <v>22.9</v>
      </c>
      <c r="M21" s="10">
        <v>15.7</v>
      </c>
      <c r="N21" s="10">
        <v>13</v>
      </c>
      <c r="O21" s="10">
        <v>6.82</v>
      </c>
    </row>
    <row r="22" spans="1:15" x14ac:dyDescent="0.15">
      <c r="A22" s="7">
        <v>1.75</v>
      </c>
      <c r="B22" s="10">
        <v>289.5</v>
      </c>
      <c r="C22" s="10">
        <v>207.3</v>
      </c>
      <c r="D22" s="10">
        <v>189.4</v>
      </c>
      <c r="E22" s="10">
        <v>149.6</v>
      </c>
      <c r="F22" s="10">
        <v>123.1</v>
      </c>
      <c r="G22" s="10">
        <v>76</v>
      </c>
      <c r="H22" s="10">
        <v>55.2</v>
      </c>
      <c r="I22" s="10">
        <v>46.6</v>
      </c>
      <c r="J22" s="10">
        <v>35</v>
      </c>
      <c r="K22" s="10">
        <v>27.1</v>
      </c>
      <c r="L22" s="10">
        <v>23.2</v>
      </c>
      <c r="M22" s="10">
        <v>15.7</v>
      </c>
      <c r="N22" s="10">
        <v>13.1</v>
      </c>
      <c r="O22" s="10">
        <v>6.88</v>
      </c>
    </row>
    <row r="23" spans="1:15" x14ac:dyDescent="0.15">
      <c r="A23" s="7">
        <v>1.7</v>
      </c>
      <c r="B23" s="10">
        <v>304.3</v>
      </c>
      <c r="C23" s="10">
        <v>218</v>
      </c>
      <c r="D23" s="10">
        <v>199.1</v>
      </c>
      <c r="E23" s="10">
        <v>157.30000000000001</v>
      </c>
      <c r="F23" s="10">
        <v>124.5</v>
      </c>
      <c r="G23" s="10">
        <v>77.099999999999994</v>
      </c>
      <c r="H23" s="10">
        <v>56.1</v>
      </c>
      <c r="I23" s="10">
        <v>47.3</v>
      </c>
      <c r="J23" s="10">
        <v>35.6</v>
      </c>
      <c r="K23" s="10">
        <v>27.5</v>
      </c>
      <c r="L23" s="10">
        <v>23.6</v>
      </c>
      <c r="M23" s="10">
        <v>15.9</v>
      </c>
      <c r="N23" s="10">
        <v>13.2</v>
      </c>
      <c r="O23" s="10">
        <v>6.94</v>
      </c>
    </row>
    <row r="24" spans="1:15" x14ac:dyDescent="0.15">
      <c r="A24" s="25">
        <v>1.67</v>
      </c>
      <c r="B24" s="10">
        <v>309.3</v>
      </c>
      <c r="C24" s="10">
        <v>221.5</v>
      </c>
      <c r="D24" s="10">
        <v>202.4</v>
      </c>
      <c r="E24" s="10">
        <v>159.9</v>
      </c>
      <c r="F24" s="10">
        <v>125.4</v>
      </c>
      <c r="G24" s="10">
        <v>77.8</v>
      </c>
      <c r="H24" s="10">
        <v>56.6</v>
      </c>
      <c r="I24" s="10">
        <v>47.8</v>
      </c>
      <c r="J24" s="10">
        <v>35.700000000000003</v>
      </c>
      <c r="K24" s="10">
        <v>27.8</v>
      </c>
      <c r="L24" s="10">
        <v>24</v>
      </c>
      <c r="M24" s="10">
        <v>16.100000000000001</v>
      </c>
      <c r="N24" s="10">
        <v>13.4</v>
      </c>
      <c r="O24" s="10">
        <v>7.02</v>
      </c>
    </row>
    <row r="25" spans="1:15" x14ac:dyDescent="0.15">
      <c r="A25" s="25">
        <v>1.6</v>
      </c>
      <c r="B25" s="10">
        <v>313.60000000000002</v>
      </c>
      <c r="C25" s="10">
        <v>224.6</v>
      </c>
      <c r="D25" s="10">
        <v>205.2</v>
      </c>
      <c r="E25" s="10">
        <v>162.1</v>
      </c>
      <c r="F25" s="10">
        <v>126</v>
      </c>
      <c r="G25" s="10">
        <v>78.3</v>
      </c>
      <c r="H25" s="10">
        <v>57.1</v>
      </c>
      <c r="I25" s="10">
        <v>48.2</v>
      </c>
      <c r="J25" s="10">
        <v>35.9</v>
      </c>
      <c r="K25" s="10">
        <v>28</v>
      </c>
      <c r="L25" s="10">
        <v>24.2</v>
      </c>
      <c r="M25" s="10">
        <v>16.3</v>
      </c>
      <c r="N25" s="10">
        <v>13.5</v>
      </c>
      <c r="O25" s="10">
        <v>7.09</v>
      </c>
    </row>
    <row r="26" spans="1:15" s="29" customFormat="1" x14ac:dyDescent="0.15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5" x14ac:dyDescent="0.15">
      <c r="A27" s="26" t="s">
        <v>29</v>
      </c>
      <c r="B27" s="26" t="s">
        <v>10</v>
      </c>
      <c r="C27" s="26" t="s">
        <v>14</v>
      </c>
      <c r="D27" s="26" t="s">
        <v>13</v>
      </c>
      <c r="E27" s="26" t="s">
        <v>22</v>
      </c>
      <c r="F27" s="26" t="s">
        <v>30</v>
      </c>
      <c r="G27" s="26" t="s">
        <v>31</v>
      </c>
      <c r="H27" s="26" t="s">
        <v>32</v>
      </c>
      <c r="I27" s="26" t="s">
        <v>33</v>
      </c>
      <c r="J27" s="26" t="s">
        <v>34</v>
      </c>
      <c r="K27" s="26" t="s">
        <v>35</v>
      </c>
      <c r="L27" s="26" t="s">
        <v>36</v>
      </c>
      <c r="M27" s="26" t="s">
        <v>37</v>
      </c>
      <c r="N27" s="26" t="s">
        <v>38</v>
      </c>
      <c r="O27" s="26" t="s">
        <v>39</v>
      </c>
    </row>
    <row r="28" spans="1:15" x14ac:dyDescent="0.15">
      <c r="A28" s="9">
        <v>1.85</v>
      </c>
      <c r="B28" s="7">
        <v>274.2</v>
      </c>
      <c r="C28" s="7">
        <v>206.5</v>
      </c>
      <c r="D28" s="7">
        <v>172.2</v>
      </c>
      <c r="E28" s="7">
        <v>146</v>
      </c>
      <c r="F28" s="7">
        <v>113.4</v>
      </c>
      <c r="G28" s="7">
        <v>74.900000000000006</v>
      </c>
      <c r="H28" s="7">
        <v>56.8</v>
      </c>
      <c r="I28" s="7">
        <v>45.8</v>
      </c>
      <c r="J28" s="7">
        <v>34.6</v>
      </c>
      <c r="K28" s="7">
        <v>27.7</v>
      </c>
      <c r="L28" s="7">
        <v>23.3</v>
      </c>
      <c r="M28" s="7">
        <v>16.100000000000001</v>
      </c>
      <c r="N28" s="7">
        <v>13.4</v>
      </c>
      <c r="O28" s="7">
        <v>7.44</v>
      </c>
    </row>
    <row r="29" spans="1:15" x14ac:dyDescent="0.15">
      <c r="A29" s="7">
        <v>1.8</v>
      </c>
      <c r="B29" s="7">
        <v>314.8</v>
      </c>
      <c r="C29" s="7">
        <v>240.6</v>
      </c>
      <c r="D29" s="7">
        <v>198.1</v>
      </c>
      <c r="E29" s="7">
        <v>166.7</v>
      </c>
      <c r="F29" s="7">
        <v>127.1</v>
      </c>
      <c r="G29" s="7">
        <v>82.3</v>
      </c>
      <c r="H29" s="7">
        <v>61.8</v>
      </c>
      <c r="I29" s="7">
        <v>49.6</v>
      </c>
      <c r="J29" s="7">
        <v>37.299999999999997</v>
      </c>
      <c r="K29" s="7">
        <v>29.8</v>
      </c>
      <c r="L29" s="7">
        <v>25</v>
      </c>
      <c r="M29" s="7">
        <v>17.2</v>
      </c>
      <c r="N29" s="7">
        <v>14.3</v>
      </c>
      <c r="O29" s="7">
        <v>7.85</v>
      </c>
    </row>
    <row r="30" spans="1:15" x14ac:dyDescent="0.15">
      <c r="A30" s="7">
        <v>1.75</v>
      </c>
      <c r="B30" s="7">
        <v>338.3</v>
      </c>
      <c r="C30" s="7">
        <v>254.9</v>
      </c>
      <c r="D30" s="7">
        <v>198.1</v>
      </c>
      <c r="E30" s="7">
        <v>173.2</v>
      </c>
      <c r="F30" s="7">
        <v>131.69999999999999</v>
      </c>
      <c r="G30" s="7">
        <v>84.8</v>
      </c>
      <c r="H30" s="7">
        <v>63.5</v>
      </c>
      <c r="I30" s="7">
        <v>50.8</v>
      </c>
      <c r="J30" s="7">
        <v>38.1</v>
      </c>
      <c r="K30" s="7">
        <v>30.4</v>
      </c>
      <c r="L30" s="7">
        <v>25.5</v>
      </c>
      <c r="M30" s="7">
        <v>17.5</v>
      </c>
      <c r="N30" s="7">
        <v>14.5</v>
      </c>
      <c r="O30" s="7">
        <v>7.94</v>
      </c>
    </row>
    <row r="31" spans="1:15" x14ac:dyDescent="0.15">
      <c r="A31" s="7">
        <v>1.7</v>
      </c>
      <c r="B31" s="7">
        <v>360.4</v>
      </c>
      <c r="C31" s="7">
        <v>268.3</v>
      </c>
      <c r="D31" s="7">
        <v>198.1</v>
      </c>
      <c r="E31" s="7">
        <v>180.4</v>
      </c>
      <c r="F31" s="7">
        <v>136.30000000000001</v>
      </c>
      <c r="G31" s="7">
        <v>87.3</v>
      </c>
      <c r="H31" s="7">
        <v>65.3</v>
      </c>
      <c r="I31" s="7">
        <v>52.2</v>
      </c>
      <c r="J31" s="7">
        <v>39</v>
      </c>
      <c r="K31" s="7">
        <v>31.1</v>
      </c>
      <c r="L31" s="7">
        <v>26</v>
      </c>
      <c r="M31" s="7">
        <v>17.7</v>
      </c>
      <c r="N31" s="7">
        <v>14.7</v>
      </c>
      <c r="O31" s="7">
        <v>8.0299999999999994</v>
      </c>
    </row>
    <row r="32" spans="1:15" x14ac:dyDescent="0.15">
      <c r="A32" s="7">
        <v>1.67</v>
      </c>
      <c r="B32" s="7">
        <v>372.7</v>
      </c>
      <c r="C32" s="7">
        <v>275.89999999999998</v>
      </c>
      <c r="D32" s="7">
        <v>198.1</v>
      </c>
      <c r="E32" s="7">
        <v>184.4</v>
      </c>
      <c r="F32" s="7">
        <v>139</v>
      </c>
      <c r="G32" s="7">
        <v>88.7</v>
      </c>
      <c r="H32" s="7">
        <v>66.2</v>
      </c>
      <c r="I32" s="7">
        <v>52.9</v>
      </c>
      <c r="J32" s="7">
        <v>39.5</v>
      </c>
      <c r="K32" s="7">
        <v>31.4</v>
      </c>
      <c r="L32" s="7">
        <v>26.3</v>
      </c>
      <c r="M32" s="7">
        <v>17.899999999999999</v>
      </c>
      <c r="N32" s="7">
        <v>14.8</v>
      </c>
      <c r="O32" s="7">
        <v>8.09</v>
      </c>
    </row>
    <row r="33" spans="1:15" x14ac:dyDescent="0.15">
      <c r="A33" s="7">
        <v>1.6</v>
      </c>
      <c r="B33" s="7">
        <v>400.4</v>
      </c>
      <c r="C33" s="7">
        <v>292.5</v>
      </c>
      <c r="D33" s="7">
        <v>198.1</v>
      </c>
      <c r="E33" s="7">
        <v>193.2</v>
      </c>
      <c r="F33" s="7">
        <v>145</v>
      </c>
      <c r="G33" s="7">
        <v>92.1</v>
      </c>
      <c r="H33" s="7">
        <v>68.599999999999994</v>
      </c>
      <c r="I33" s="7">
        <v>54.7</v>
      </c>
      <c r="J33" s="7">
        <v>40.700000000000003</v>
      </c>
      <c r="K33" s="7">
        <v>32.299999999999997</v>
      </c>
      <c r="L33" s="7">
        <v>27</v>
      </c>
      <c r="M33" s="7">
        <v>18.3</v>
      </c>
      <c r="N33" s="7">
        <v>15.1</v>
      </c>
      <c r="O33" s="7">
        <v>8.23</v>
      </c>
    </row>
    <row r="34" spans="1:15" s="29" customFormat="1" x14ac:dyDescent="0.15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5" s="29" customFormat="1" x14ac:dyDescent="0.15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</row>
    <row r="36" spans="1:15" x14ac:dyDescent="0.15">
      <c r="A36" s="24" t="s">
        <v>141</v>
      </c>
      <c r="B36" s="24" t="s">
        <v>10</v>
      </c>
      <c r="C36" s="24" t="s">
        <v>126</v>
      </c>
      <c r="D36" s="24" t="s">
        <v>127</v>
      </c>
      <c r="E36" s="24" t="s">
        <v>128</v>
      </c>
      <c r="F36" s="24" t="s">
        <v>129</v>
      </c>
      <c r="G36" s="24" t="s">
        <v>130</v>
      </c>
      <c r="H36" s="24" t="s">
        <v>131</v>
      </c>
      <c r="I36" s="24" t="s">
        <v>132</v>
      </c>
      <c r="J36" s="24" t="s">
        <v>133</v>
      </c>
      <c r="K36" s="24" t="s">
        <v>134</v>
      </c>
      <c r="L36" s="24" t="s">
        <v>135</v>
      </c>
      <c r="M36" s="24" t="s">
        <v>136</v>
      </c>
      <c r="N36" s="24" t="s">
        <v>137</v>
      </c>
      <c r="O36" s="24" t="s">
        <v>138</v>
      </c>
    </row>
    <row r="37" spans="1:15" x14ac:dyDescent="0.15">
      <c r="A37" s="7">
        <v>1.85</v>
      </c>
      <c r="B37" s="10">
        <v>342.7</v>
      </c>
      <c r="C37" s="10">
        <v>258.2</v>
      </c>
      <c r="D37" s="10">
        <v>215.2</v>
      </c>
      <c r="E37" s="10">
        <v>182.6</v>
      </c>
      <c r="F37" s="10">
        <v>141.69999999999999</v>
      </c>
      <c r="G37" s="10">
        <v>93.6</v>
      </c>
      <c r="H37" s="10">
        <v>71</v>
      </c>
      <c r="I37" s="10">
        <v>57.3</v>
      </c>
      <c r="J37" s="10">
        <v>43.2</v>
      </c>
      <c r="K37" s="10">
        <v>34.700000000000003</v>
      </c>
      <c r="L37" s="10">
        <v>29.1</v>
      </c>
      <c r="M37" s="10">
        <v>20.100000000000001</v>
      </c>
      <c r="N37" s="10">
        <v>16.8</v>
      </c>
      <c r="O37" s="10">
        <v>9.3000000000000007</v>
      </c>
    </row>
    <row r="38" spans="1:15" x14ac:dyDescent="0.15">
      <c r="A38" s="7">
        <v>1.8</v>
      </c>
      <c r="B38" s="10">
        <v>393.5</v>
      </c>
      <c r="C38" s="10">
        <v>300.8</v>
      </c>
      <c r="D38" s="10">
        <v>247.6</v>
      </c>
      <c r="E38" s="10">
        <v>208.3</v>
      </c>
      <c r="F38" s="10">
        <v>158.9</v>
      </c>
      <c r="G38" s="10">
        <v>102.9</v>
      </c>
      <c r="H38" s="10">
        <v>77.3</v>
      </c>
      <c r="I38" s="10">
        <v>62</v>
      </c>
      <c r="J38" s="10">
        <v>46.6</v>
      </c>
      <c r="K38" s="10">
        <v>37.299999999999997</v>
      </c>
      <c r="L38" s="10">
        <v>31.3</v>
      </c>
      <c r="M38" s="10">
        <v>21.5</v>
      </c>
      <c r="N38" s="10">
        <v>17.899999999999999</v>
      </c>
      <c r="O38" s="10">
        <v>9.81</v>
      </c>
    </row>
    <row r="39" spans="1:15" x14ac:dyDescent="0.15">
      <c r="A39" s="7">
        <v>1.75</v>
      </c>
      <c r="B39" s="10">
        <v>422.8</v>
      </c>
      <c r="C39" s="10">
        <v>318.60000000000002</v>
      </c>
      <c r="D39" s="10">
        <v>259.2</v>
      </c>
      <c r="E39" s="10">
        <v>216.5</v>
      </c>
      <c r="F39" s="10">
        <v>164.7</v>
      </c>
      <c r="G39" s="10">
        <v>106</v>
      </c>
      <c r="H39" s="10">
        <v>79.400000000000006</v>
      </c>
      <c r="I39" s="10">
        <v>63.5</v>
      </c>
      <c r="J39" s="10">
        <v>47.6</v>
      </c>
      <c r="K39" s="10">
        <v>38</v>
      </c>
      <c r="L39" s="10">
        <v>31.9</v>
      </c>
      <c r="M39" s="10">
        <v>21.8</v>
      </c>
      <c r="N39" s="10">
        <v>18.100000000000001</v>
      </c>
      <c r="O39" s="10">
        <v>9.93</v>
      </c>
    </row>
    <row r="40" spans="1:15" x14ac:dyDescent="0.15">
      <c r="A40" s="7">
        <v>1.7</v>
      </c>
      <c r="B40" s="10">
        <v>450.5</v>
      </c>
      <c r="C40" s="10">
        <v>335.3</v>
      </c>
      <c r="D40" s="10">
        <v>270.89999999999998</v>
      </c>
      <c r="E40" s="10">
        <v>225.5</v>
      </c>
      <c r="F40" s="10">
        <v>170.4</v>
      </c>
      <c r="G40" s="10">
        <v>109.1</v>
      </c>
      <c r="H40" s="10">
        <v>81.599999999999994</v>
      </c>
      <c r="I40" s="10">
        <v>65.2</v>
      </c>
      <c r="J40" s="10">
        <v>48.8</v>
      </c>
      <c r="K40" s="10">
        <v>38.9</v>
      </c>
      <c r="L40" s="10">
        <v>32.5</v>
      </c>
      <c r="M40" s="10">
        <v>22.2</v>
      </c>
      <c r="N40" s="10">
        <v>18.399999999999999</v>
      </c>
      <c r="O40" s="10">
        <v>10</v>
      </c>
    </row>
    <row r="41" spans="1:15" x14ac:dyDescent="0.15">
      <c r="A41" s="25">
        <v>1.67</v>
      </c>
      <c r="B41" s="10">
        <v>465.8</v>
      </c>
      <c r="C41" s="10">
        <v>344.9</v>
      </c>
      <c r="D41" s="10">
        <v>280.10000000000002</v>
      </c>
      <c r="E41" s="10">
        <v>230.5</v>
      </c>
      <c r="F41" s="10">
        <v>173.7</v>
      </c>
      <c r="G41" s="10">
        <v>110.8</v>
      </c>
      <c r="H41" s="10">
        <v>82.8</v>
      </c>
      <c r="I41" s="10">
        <v>66.099999999999994</v>
      </c>
      <c r="J41" s="10">
        <v>49.4</v>
      </c>
      <c r="K41" s="10">
        <v>39.299999999999997</v>
      </c>
      <c r="L41" s="10">
        <v>32.9</v>
      </c>
      <c r="M41" s="10">
        <v>22.4</v>
      </c>
      <c r="N41" s="10">
        <v>18.5</v>
      </c>
      <c r="O41" s="10">
        <v>10.1</v>
      </c>
    </row>
    <row r="42" spans="1:15" x14ac:dyDescent="0.15">
      <c r="A42" s="25">
        <v>1.6</v>
      </c>
      <c r="B42" s="10">
        <v>500.5</v>
      </c>
      <c r="C42" s="10">
        <v>365.6</v>
      </c>
      <c r="D42" s="10">
        <v>292.3</v>
      </c>
      <c r="E42" s="10">
        <v>241.6</v>
      </c>
      <c r="F42" s="10">
        <v>181.2</v>
      </c>
      <c r="G42" s="10">
        <v>115.1</v>
      </c>
      <c r="H42" s="10">
        <v>85.7</v>
      </c>
      <c r="I42" s="10">
        <v>68.3</v>
      </c>
      <c r="J42" s="10">
        <v>50.9</v>
      </c>
      <c r="K42" s="10">
        <v>40.4</v>
      </c>
      <c r="L42" s="10">
        <v>33.700000000000003</v>
      </c>
      <c r="M42" s="10">
        <v>22.8</v>
      </c>
      <c r="N42" s="10">
        <v>18.899999999999999</v>
      </c>
      <c r="O42" s="10">
        <v>10.3</v>
      </c>
    </row>
    <row r="43" spans="1:15" s="29" customFormat="1" x14ac:dyDescent="0.15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5" s="29" customFormat="1" x14ac:dyDescent="0.15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5" x14ac:dyDescent="0.15">
      <c r="A45" s="26" t="s">
        <v>40</v>
      </c>
      <c r="B45" s="26" t="s">
        <v>10</v>
      </c>
      <c r="C45" s="26" t="s">
        <v>14</v>
      </c>
      <c r="D45" s="26" t="s">
        <v>13</v>
      </c>
      <c r="E45" s="26" t="s">
        <v>22</v>
      </c>
      <c r="F45" s="26" t="s">
        <v>30</v>
      </c>
      <c r="G45" s="26" t="s">
        <v>31</v>
      </c>
      <c r="H45" s="26" t="s">
        <v>32</v>
      </c>
      <c r="I45" s="26" t="s">
        <v>33</v>
      </c>
      <c r="J45" s="26" t="s">
        <v>34</v>
      </c>
      <c r="K45" s="26" t="s">
        <v>35</v>
      </c>
      <c r="L45" s="26" t="s">
        <v>36</v>
      </c>
      <c r="M45" s="26" t="s">
        <v>37</v>
      </c>
      <c r="N45" s="26" t="s">
        <v>38</v>
      </c>
      <c r="O45" s="26" t="s">
        <v>39</v>
      </c>
    </row>
    <row r="46" spans="1:15" x14ac:dyDescent="0.15">
      <c r="A46" s="9">
        <v>1.85</v>
      </c>
      <c r="B46" s="7">
        <v>411.3</v>
      </c>
      <c r="C46" s="7">
        <v>309.8</v>
      </c>
      <c r="D46" s="7">
        <v>258.2</v>
      </c>
      <c r="E46" s="7">
        <v>219.1</v>
      </c>
      <c r="F46" s="7">
        <v>170.1</v>
      </c>
      <c r="G46" s="7">
        <v>112.3</v>
      </c>
      <c r="H46" s="7">
        <v>85.3</v>
      </c>
      <c r="I46" s="7">
        <v>68.7</v>
      </c>
      <c r="J46" s="7">
        <v>51.9</v>
      </c>
      <c r="K46" s="7">
        <v>41.6</v>
      </c>
      <c r="L46" s="7">
        <v>35</v>
      </c>
      <c r="M46" s="7">
        <v>24.1</v>
      </c>
      <c r="N46" s="7">
        <v>20.2</v>
      </c>
      <c r="O46" s="7">
        <v>11.2</v>
      </c>
    </row>
    <row r="47" spans="1:15" x14ac:dyDescent="0.15">
      <c r="A47" s="7">
        <v>1.8</v>
      </c>
      <c r="B47" s="7">
        <v>472.2</v>
      </c>
      <c r="C47" s="7">
        <v>360.9</v>
      </c>
      <c r="D47" s="7">
        <v>297.2</v>
      </c>
      <c r="E47" s="7">
        <v>250</v>
      </c>
      <c r="F47" s="7">
        <v>190.7</v>
      </c>
      <c r="G47" s="7">
        <v>123.5</v>
      </c>
      <c r="H47" s="7">
        <v>92.7</v>
      </c>
      <c r="I47" s="7">
        <v>74.400000000000006</v>
      </c>
      <c r="J47" s="7">
        <v>55.9</v>
      </c>
      <c r="K47" s="7">
        <v>44.7</v>
      </c>
      <c r="L47" s="7">
        <v>37.5</v>
      </c>
      <c r="M47" s="7">
        <v>25.8</v>
      </c>
      <c r="N47" s="7">
        <v>21.5</v>
      </c>
      <c r="O47" s="7">
        <v>11.8</v>
      </c>
    </row>
    <row r="48" spans="1:15" x14ac:dyDescent="0.15">
      <c r="A48" s="7">
        <v>1.75</v>
      </c>
      <c r="B48" s="7">
        <v>507.4</v>
      </c>
      <c r="C48" s="7">
        <v>382.3</v>
      </c>
      <c r="D48" s="7">
        <v>311.10000000000002</v>
      </c>
      <c r="E48" s="7">
        <v>259.8</v>
      </c>
      <c r="F48" s="7">
        <v>197.6</v>
      </c>
      <c r="G48" s="7">
        <v>127.2</v>
      </c>
      <c r="H48" s="7">
        <v>95.3</v>
      </c>
      <c r="I48" s="7">
        <v>76.2</v>
      </c>
      <c r="J48" s="7">
        <v>57.2</v>
      </c>
      <c r="K48" s="7">
        <v>45.7</v>
      </c>
      <c r="L48" s="7">
        <v>38.299999999999997</v>
      </c>
      <c r="M48" s="7">
        <v>26.2</v>
      </c>
      <c r="N48" s="7">
        <v>21.8</v>
      </c>
      <c r="O48" s="7">
        <v>11.9</v>
      </c>
    </row>
    <row r="49" spans="1:15" x14ac:dyDescent="0.15">
      <c r="A49" s="7">
        <v>1.7</v>
      </c>
      <c r="B49" s="7">
        <v>540.6</v>
      </c>
      <c r="C49" s="7">
        <v>402.4</v>
      </c>
      <c r="D49" s="7">
        <v>325.10000000000002</v>
      </c>
      <c r="E49" s="7">
        <v>270.7</v>
      </c>
      <c r="F49" s="7">
        <v>204.4</v>
      </c>
      <c r="G49" s="7">
        <v>130.9</v>
      </c>
      <c r="H49" s="7">
        <v>97.9</v>
      </c>
      <c r="I49" s="7">
        <v>78.3</v>
      </c>
      <c r="J49" s="7">
        <v>58.6</v>
      </c>
      <c r="K49" s="7">
        <v>46.6</v>
      </c>
      <c r="L49" s="7">
        <v>39</v>
      </c>
      <c r="M49" s="7">
        <v>26.6</v>
      </c>
      <c r="N49" s="7">
        <v>22.1</v>
      </c>
      <c r="O49" s="7">
        <v>12.1</v>
      </c>
    </row>
    <row r="50" spans="1:15" x14ac:dyDescent="0.15">
      <c r="A50" s="7">
        <v>1.67</v>
      </c>
      <c r="B50" s="7">
        <v>559</v>
      </c>
      <c r="C50" s="7">
        <v>413.9</v>
      </c>
      <c r="D50" s="7">
        <v>336.2</v>
      </c>
      <c r="E50" s="7">
        <v>276.60000000000002</v>
      </c>
      <c r="F50" s="7">
        <v>208.5</v>
      </c>
      <c r="G50" s="7">
        <v>133</v>
      </c>
      <c r="H50" s="7">
        <v>99.3</v>
      </c>
      <c r="I50" s="7">
        <v>79.3</v>
      </c>
      <c r="J50" s="7">
        <v>59.3</v>
      </c>
      <c r="K50" s="7">
        <v>47.2</v>
      </c>
      <c r="L50" s="7">
        <v>39.4</v>
      </c>
      <c r="M50" s="7">
        <v>26.9</v>
      </c>
      <c r="N50" s="7">
        <v>22.3</v>
      </c>
      <c r="O50" s="7">
        <v>12.1</v>
      </c>
    </row>
    <row r="51" spans="1:15" x14ac:dyDescent="0.15">
      <c r="A51" s="7">
        <v>1.6</v>
      </c>
      <c r="B51" s="7">
        <v>600.6</v>
      </c>
      <c r="C51" s="7">
        <v>438.7</v>
      </c>
      <c r="D51" s="7">
        <v>350.7</v>
      </c>
      <c r="E51" s="7">
        <v>289.89999999999998</v>
      </c>
      <c r="F51" s="7">
        <v>217.4</v>
      </c>
      <c r="G51" s="7">
        <v>138.19999999999999</v>
      </c>
      <c r="H51" s="7">
        <v>102.9</v>
      </c>
      <c r="I51" s="7">
        <v>82</v>
      </c>
      <c r="J51" s="7">
        <v>61.1</v>
      </c>
      <c r="K51" s="7">
        <v>48.5</v>
      </c>
      <c r="L51" s="7">
        <v>40.5</v>
      </c>
      <c r="M51" s="7">
        <v>27.4</v>
      </c>
      <c r="N51" s="7">
        <v>22.7</v>
      </c>
      <c r="O51" s="7">
        <v>12.3</v>
      </c>
    </row>
    <row r="52" spans="1:15" s="29" customFormat="1" x14ac:dyDescent="0.15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</row>
    <row r="53" spans="1:15" s="29" customFormat="1" x14ac:dyDescent="0.15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</row>
    <row r="54" spans="1:15" x14ac:dyDescent="0.15">
      <c r="A54" s="26" t="s">
        <v>41</v>
      </c>
      <c r="B54" s="26" t="s">
        <v>10</v>
      </c>
      <c r="C54" s="26" t="s">
        <v>14</v>
      </c>
      <c r="D54" s="26" t="s">
        <v>13</v>
      </c>
      <c r="E54" s="26" t="s">
        <v>22</v>
      </c>
      <c r="F54" s="26" t="s">
        <v>30</v>
      </c>
      <c r="G54" s="26" t="s">
        <v>31</v>
      </c>
      <c r="H54" s="26" t="s">
        <v>32</v>
      </c>
      <c r="I54" s="26" t="s">
        <v>33</v>
      </c>
      <c r="J54" s="26" t="s">
        <v>34</v>
      </c>
      <c r="K54" s="26" t="s">
        <v>35</v>
      </c>
      <c r="L54" s="26" t="s">
        <v>36</v>
      </c>
      <c r="M54" s="26" t="s">
        <v>37</v>
      </c>
      <c r="N54" s="26" t="s">
        <v>38</v>
      </c>
      <c r="O54" s="26" t="s">
        <v>39</v>
      </c>
    </row>
    <row r="55" spans="1:15" x14ac:dyDescent="0.15">
      <c r="A55" s="9">
        <v>1.85</v>
      </c>
      <c r="B55" s="7">
        <v>514.1</v>
      </c>
      <c r="C55" s="7">
        <v>387.3</v>
      </c>
      <c r="D55" s="7">
        <v>322.8</v>
      </c>
      <c r="E55" s="7">
        <v>273.8</v>
      </c>
      <c r="F55" s="7">
        <v>212.6</v>
      </c>
      <c r="G55" s="7">
        <v>140.4</v>
      </c>
      <c r="H55" s="7">
        <v>106.6</v>
      </c>
      <c r="I55" s="7">
        <v>85.9</v>
      </c>
      <c r="J55" s="7">
        <v>64.900000000000006</v>
      </c>
      <c r="K55" s="7">
        <v>52</v>
      </c>
      <c r="L55" s="7">
        <v>43.7</v>
      </c>
      <c r="M55" s="7">
        <v>30.2</v>
      </c>
      <c r="N55" s="7">
        <v>25.2</v>
      </c>
      <c r="O55" s="7">
        <v>14</v>
      </c>
    </row>
    <row r="56" spans="1:15" x14ac:dyDescent="0.15">
      <c r="A56" s="7">
        <v>1.8</v>
      </c>
      <c r="B56" s="7">
        <v>590.20000000000005</v>
      </c>
      <c r="C56" s="7">
        <v>451.1</v>
      </c>
      <c r="D56" s="7">
        <v>371.4</v>
      </c>
      <c r="E56" s="7">
        <v>312.5</v>
      </c>
      <c r="F56" s="7">
        <v>238.3</v>
      </c>
      <c r="G56" s="7">
        <v>154.4</v>
      </c>
      <c r="H56" s="7">
        <v>115.9</v>
      </c>
      <c r="I56" s="7">
        <v>93</v>
      </c>
      <c r="J56" s="7">
        <v>69.900000000000006</v>
      </c>
      <c r="K56" s="7">
        <v>55.9</v>
      </c>
      <c r="L56" s="7">
        <v>46.9</v>
      </c>
      <c r="M56" s="7">
        <v>32.200000000000003</v>
      </c>
      <c r="N56" s="7">
        <v>26.9</v>
      </c>
      <c r="O56" s="7">
        <v>14.7</v>
      </c>
    </row>
    <row r="57" spans="1:15" x14ac:dyDescent="0.15">
      <c r="A57" s="7">
        <v>1.75</v>
      </c>
      <c r="B57" s="7">
        <v>634.20000000000005</v>
      </c>
      <c r="C57" s="7">
        <v>477.9</v>
      </c>
      <c r="D57" s="7">
        <v>388.8</v>
      </c>
      <c r="E57" s="7">
        <v>324.7</v>
      </c>
      <c r="F57" s="7">
        <v>247</v>
      </c>
      <c r="G57" s="7">
        <v>158.9</v>
      </c>
      <c r="H57" s="7">
        <v>119.1</v>
      </c>
      <c r="I57" s="7">
        <v>95.3</v>
      </c>
      <c r="J57" s="7">
        <v>71.5</v>
      </c>
      <c r="K57" s="7">
        <v>57.1</v>
      </c>
      <c r="L57" s="7">
        <v>47.8</v>
      </c>
      <c r="M57" s="7">
        <v>32.799999999999997</v>
      </c>
      <c r="N57" s="7">
        <v>27.2</v>
      </c>
      <c r="O57" s="7">
        <v>14.9</v>
      </c>
    </row>
    <row r="58" spans="1:15" x14ac:dyDescent="0.15">
      <c r="A58" s="7">
        <v>1.7</v>
      </c>
      <c r="B58" s="7">
        <v>675.7</v>
      </c>
      <c r="C58" s="7">
        <v>503</v>
      </c>
      <c r="D58" s="7">
        <v>406.3</v>
      </c>
      <c r="E58" s="7">
        <v>338.3</v>
      </c>
      <c r="F58" s="7">
        <v>255.5</v>
      </c>
      <c r="G58" s="7">
        <v>163.6</v>
      </c>
      <c r="H58" s="7">
        <v>122.4</v>
      </c>
      <c r="I58" s="7">
        <v>97.8</v>
      </c>
      <c r="J58" s="7">
        <v>73.2</v>
      </c>
      <c r="K58" s="7">
        <v>58.3</v>
      </c>
      <c r="L58" s="7">
        <v>48.8</v>
      </c>
      <c r="M58" s="7">
        <v>33.299999999999997</v>
      </c>
      <c r="N58" s="7">
        <v>27.6</v>
      </c>
      <c r="O58" s="7">
        <v>15.1</v>
      </c>
    </row>
    <row r="59" spans="1:15" x14ac:dyDescent="0.15">
      <c r="A59" s="7">
        <v>1.67</v>
      </c>
      <c r="B59" s="7">
        <v>698.7</v>
      </c>
      <c r="C59" s="7">
        <v>517.4</v>
      </c>
      <c r="D59" s="7">
        <v>420.2</v>
      </c>
      <c r="E59" s="7">
        <v>345.7</v>
      </c>
      <c r="F59" s="7">
        <v>260.60000000000002</v>
      </c>
      <c r="G59" s="7">
        <v>166.3</v>
      </c>
      <c r="H59" s="7">
        <v>124.1</v>
      </c>
      <c r="I59" s="7">
        <v>99.1</v>
      </c>
      <c r="J59" s="7">
        <v>74.099999999999994</v>
      </c>
      <c r="K59" s="7">
        <v>59</v>
      </c>
      <c r="L59" s="7">
        <v>49.3</v>
      </c>
      <c r="M59" s="7">
        <v>33.6</v>
      </c>
      <c r="N59" s="7">
        <v>27.8</v>
      </c>
      <c r="O59" s="7">
        <v>15.2</v>
      </c>
    </row>
    <row r="60" spans="1:15" x14ac:dyDescent="0.15">
      <c r="A60" s="7">
        <v>1.6</v>
      </c>
      <c r="B60" s="7">
        <v>750.8</v>
      </c>
      <c r="C60" s="7">
        <v>548.4</v>
      </c>
      <c r="D60" s="7">
        <v>438.4</v>
      </c>
      <c r="E60" s="7">
        <v>362.3</v>
      </c>
      <c r="F60" s="7">
        <v>271.8</v>
      </c>
      <c r="G60" s="7">
        <v>172.7</v>
      </c>
      <c r="H60" s="7">
        <v>128.6</v>
      </c>
      <c r="I60" s="7">
        <v>102.5</v>
      </c>
      <c r="J60" s="7">
        <v>76.400000000000006</v>
      </c>
      <c r="K60" s="7">
        <v>60.6</v>
      </c>
      <c r="L60" s="7">
        <v>50.6</v>
      </c>
      <c r="M60" s="7">
        <v>34.299999999999997</v>
      </c>
      <c r="N60" s="7">
        <v>28.3</v>
      </c>
      <c r="O60" s="7">
        <v>15.4</v>
      </c>
    </row>
    <row r="61" spans="1:15" s="29" customFormat="1" x14ac:dyDescent="0.15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</row>
    <row r="62" spans="1:15" s="29" customFormat="1" x14ac:dyDescent="0.15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</row>
    <row r="63" spans="1:15" x14ac:dyDescent="0.15">
      <c r="A63" s="26" t="s">
        <v>45</v>
      </c>
      <c r="B63" s="26" t="s">
        <v>10</v>
      </c>
      <c r="C63" s="26" t="s">
        <v>14</v>
      </c>
      <c r="D63" s="26" t="s">
        <v>13</v>
      </c>
      <c r="E63" s="26" t="s">
        <v>22</v>
      </c>
      <c r="F63" s="26" t="s">
        <v>30</v>
      </c>
      <c r="G63" s="26" t="s">
        <v>31</v>
      </c>
      <c r="H63" s="26" t="s">
        <v>32</v>
      </c>
      <c r="I63" s="26" t="s">
        <v>33</v>
      </c>
      <c r="J63" s="26" t="s">
        <v>34</v>
      </c>
      <c r="K63" s="26" t="s">
        <v>35</v>
      </c>
      <c r="L63" s="26" t="s">
        <v>36</v>
      </c>
      <c r="M63" s="26" t="s">
        <v>37</v>
      </c>
      <c r="N63" s="26" t="s">
        <v>38</v>
      </c>
      <c r="O63" s="26" t="s">
        <v>39</v>
      </c>
    </row>
    <row r="64" spans="1:15" x14ac:dyDescent="0.15">
      <c r="A64" s="9">
        <v>1.85</v>
      </c>
      <c r="B64" s="9">
        <v>761.6</v>
      </c>
      <c r="C64" s="9">
        <v>545.5</v>
      </c>
      <c r="D64" s="9">
        <v>476</v>
      </c>
      <c r="E64" s="9">
        <v>376</v>
      </c>
      <c r="F64" s="9">
        <v>337.8</v>
      </c>
      <c r="G64" s="9">
        <v>211.8</v>
      </c>
      <c r="H64" s="9">
        <v>153.9</v>
      </c>
      <c r="I64" s="9">
        <v>129.80000000000001</v>
      </c>
      <c r="J64" s="9">
        <v>95.7</v>
      </c>
      <c r="K64" s="9">
        <v>75.3</v>
      </c>
      <c r="L64" s="9">
        <v>65.599999999999994</v>
      </c>
      <c r="M64" s="9">
        <v>44.8</v>
      </c>
      <c r="N64" s="9">
        <v>37.200000000000003</v>
      </c>
      <c r="O64" s="9">
        <v>19.8</v>
      </c>
    </row>
    <row r="65" spans="1:15" x14ac:dyDescent="0.15">
      <c r="A65" s="7">
        <v>1.8</v>
      </c>
      <c r="B65" s="9">
        <v>852</v>
      </c>
      <c r="C65" s="9">
        <v>610.20000000000005</v>
      </c>
      <c r="D65" s="9">
        <v>532.5</v>
      </c>
      <c r="E65" s="9">
        <v>420.7</v>
      </c>
      <c r="F65" s="9">
        <v>364.9</v>
      </c>
      <c r="G65" s="9">
        <v>218.2</v>
      </c>
      <c r="H65" s="9">
        <v>158.30000000000001</v>
      </c>
      <c r="I65" s="9">
        <v>133.4</v>
      </c>
      <c r="J65" s="9">
        <v>103.3</v>
      </c>
      <c r="K65" s="9">
        <v>80.099999999999994</v>
      </c>
      <c r="L65" s="9">
        <v>68.7</v>
      </c>
      <c r="M65" s="9">
        <v>47</v>
      </c>
      <c r="N65" s="9">
        <v>38.9</v>
      </c>
      <c r="O65" s="9">
        <v>20.5</v>
      </c>
    </row>
    <row r="66" spans="1:15" x14ac:dyDescent="0.15">
      <c r="A66" s="7">
        <v>1.75</v>
      </c>
      <c r="B66" s="9">
        <v>909.3</v>
      </c>
      <c r="C66" s="9">
        <v>651.29999999999995</v>
      </c>
      <c r="D66" s="9">
        <v>568.29999999999995</v>
      </c>
      <c r="E66" s="9">
        <v>449</v>
      </c>
      <c r="F66" s="9">
        <v>369.5</v>
      </c>
      <c r="G66" s="9">
        <v>227.9</v>
      </c>
      <c r="H66" s="9">
        <v>165.7</v>
      </c>
      <c r="I66" s="9">
        <v>139.80000000000001</v>
      </c>
      <c r="J66" s="9">
        <v>105.1</v>
      </c>
      <c r="K66" s="9">
        <v>81.3</v>
      </c>
      <c r="L66" s="9">
        <v>69.7</v>
      </c>
      <c r="M66" s="9">
        <v>47.2</v>
      </c>
      <c r="N66" s="9">
        <v>39.299999999999997</v>
      </c>
      <c r="O66" s="9">
        <v>20.6</v>
      </c>
    </row>
    <row r="67" spans="1:15" x14ac:dyDescent="0.15">
      <c r="A67" s="7">
        <v>1.7</v>
      </c>
      <c r="B67" s="9">
        <v>955.9</v>
      </c>
      <c r="C67" s="9">
        <v>684.7</v>
      </c>
      <c r="D67" s="9">
        <v>597.4</v>
      </c>
      <c r="E67" s="9">
        <v>472</v>
      </c>
      <c r="F67" s="9">
        <v>373.7</v>
      </c>
      <c r="G67" s="9">
        <v>231.2</v>
      </c>
      <c r="H67" s="9">
        <v>168.3</v>
      </c>
      <c r="I67" s="9">
        <v>142</v>
      </c>
      <c r="J67" s="9">
        <v>106.7</v>
      </c>
      <c r="K67" s="9">
        <v>82.4</v>
      </c>
      <c r="L67" s="9">
        <v>70.7</v>
      </c>
      <c r="M67" s="9">
        <v>47.8</v>
      </c>
      <c r="N67" s="9">
        <v>39.6</v>
      </c>
      <c r="O67" s="9">
        <v>20.8</v>
      </c>
    </row>
    <row r="68" spans="1:15" x14ac:dyDescent="0.15">
      <c r="A68" s="7">
        <v>1.67</v>
      </c>
      <c r="B68" s="9">
        <v>971.4</v>
      </c>
      <c r="C68" s="9">
        <v>695.8</v>
      </c>
      <c r="D68" s="9">
        <v>607.20000000000005</v>
      </c>
      <c r="E68" s="9">
        <v>479.7</v>
      </c>
      <c r="F68" s="9">
        <v>376.4</v>
      </c>
      <c r="G68" s="9">
        <v>233.3</v>
      </c>
      <c r="H68" s="9">
        <v>169.9</v>
      </c>
      <c r="I68" s="9">
        <v>143.5</v>
      </c>
      <c r="J68" s="9">
        <v>107.2</v>
      </c>
      <c r="K68" s="9">
        <v>83.4</v>
      </c>
      <c r="L68" s="9">
        <v>71.900000000000006</v>
      </c>
      <c r="M68" s="9">
        <v>48.4</v>
      </c>
      <c r="N68" s="9">
        <v>40.1</v>
      </c>
      <c r="O68" s="9">
        <v>21.1</v>
      </c>
    </row>
    <row r="69" spans="1:15" x14ac:dyDescent="0.15">
      <c r="A69" s="7">
        <v>1.6</v>
      </c>
      <c r="B69" s="9">
        <v>985</v>
      </c>
      <c r="C69" s="9">
        <v>705.5</v>
      </c>
      <c r="D69" s="9">
        <v>615.70000000000005</v>
      </c>
      <c r="E69" s="9">
        <v>486.4</v>
      </c>
      <c r="F69" s="9">
        <v>378</v>
      </c>
      <c r="G69" s="9">
        <v>235.1</v>
      </c>
      <c r="H69" s="9">
        <v>171.2</v>
      </c>
      <c r="I69" s="9">
        <v>144.69999999999999</v>
      </c>
      <c r="J69" s="9">
        <v>107.7</v>
      </c>
      <c r="K69" s="9">
        <v>84</v>
      </c>
      <c r="L69" s="9">
        <v>72.599999999999994</v>
      </c>
      <c r="M69" s="9">
        <v>48.9</v>
      </c>
      <c r="N69" s="9">
        <v>40.5</v>
      </c>
      <c r="O69" s="9">
        <v>21.3</v>
      </c>
    </row>
    <row r="70" spans="1:15" s="29" customFormat="1" x14ac:dyDescent="0.15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</row>
    <row r="71" spans="1:15" x14ac:dyDescent="0.15">
      <c r="A71" s="24" t="s">
        <v>142</v>
      </c>
      <c r="B71" s="24" t="s">
        <v>10</v>
      </c>
      <c r="C71" s="24" t="s">
        <v>126</v>
      </c>
      <c r="D71" s="24" t="s">
        <v>127</v>
      </c>
      <c r="E71" s="24" t="s">
        <v>128</v>
      </c>
      <c r="F71" s="24" t="s">
        <v>129</v>
      </c>
      <c r="G71" s="24" t="s">
        <v>130</v>
      </c>
      <c r="H71" s="24" t="s">
        <v>131</v>
      </c>
      <c r="I71" s="24" t="s">
        <v>132</v>
      </c>
      <c r="J71" s="24" t="s">
        <v>133</v>
      </c>
      <c r="K71" s="24" t="s">
        <v>134</v>
      </c>
      <c r="L71" s="24" t="s">
        <v>135</v>
      </c>
      <c r="M71" s="24" t="s">
        <v>136</v>
      </c>
      <c r="N71" s="24" t="s">
        <v>137</v>
      </c>
      <c r="O71" s="24" t="s">
        <v>138</v>
      </c>
    </row>
    <row r="72" spans="1:15" x14ac:dyDescent="0.15">
      <c r="A72" s="7">
        <v>1.85</v>
      </c>
      <c r="B72" s="7">
        <v>856.8</v>
      </c>
      <c r="C72" s="10">
        <v>645.4</v>
      </c>
      <c r="D72" s="10">
        <v>538</v>
      </c>
      <c r="E72" s="10">
        <v>456.4</v>
      </c>
      <c r="F72" s="10">
        <v>354.3</v>
      </c>
      <c r="G72" s="10">
        <v>234</v>
      </c>
      <c r="H72" s="10">
        <v>177.6</v>
      </c>
      <c r="I72" s="10">
        <v>143.1</v>
      </c>
      <c r="J72" s="10">
        <v>108.1</v>
      </c>
      <c r="K72" s="10">
        <v>86.7</v>
      </c>
      <c r="L72" s="10">
        <v>72.8</v>
      </c>
      <c r="M72" s="10">
        <v>50.3</v>
      </c>
      <c r="N72" s="10">
        <v>42</v>
      </c>
      <c r="O72" s="10">
        <v>23.3</v>
      </c>
    </row>
    <row r="73" spans="1:15" x14ac:dyDescent="0.15">
      <c r="A73" s="7">
        <v>1.8</v>
      </c>
      <c r="B73" s="10">
        <v>983.7</v>
      </c>
      <c r="C73" s="10">
        <v>751.9</v>
      </c>
      <c r="D73" s="10">
        <v>619.1</v>
      </c>
      <c r="E73" s="10">
        <v>520.79999999999995</v>
      </c>
      <c r="F73" s="10">
        <v>397.2</v>
      </c>
      <c r="G73" s="10">
        <v>257.3</v>
      </c>
      <c r="H73" s="10">
        <v>193.2</v>
      </c>
      <c r="I73" s="10">
        <v>155</v>
      </c>
      <c r="J73" s="10">
        <v>116.5</v>
      </c>
      <c r="K73" s="10">
        <v>93.1</v>
      </c>
      <c r="L73" s="10">
        <v>78.2</v>
      </c>
      <c r="M73" s="10">
        <v>53.7</v>
      </c>
      <c r="N73" s="10">
        <v>44.8</v>
      </c>
      <c r="O73" s="10">
        <v>24.5</v>
      </c>
    </row>
    <row r="74" spans="1:15" x14ac:dyDescent="0.15">
      <c r="A74" s="7">
        <v>1.75</v>
      </c>
      <c r="B74" s="10">
        <v>1057.0999999999999</v>
      </c>
      <c r="C74" s="10">
        <v>796.5</v>
      </c>
      <c r="D74" s="10">
        <v>648.1</v>
      </c>
      <c r="E74" s="10">
        <v>541.20000000000005</v>
      </c>
      <c r="F74" s="10">
        <v>411.7</v>
      </c>
      <c r="G74" s="10">
        <v>264.89999999999998</v>
      </c>
      <c r="H74" s="10">
        <v>198.5</v>
      </c>
      <c r="I74" s="10">
        <v>158.80000000000001</v>
      </c>
      <c r="J74" s="10">
        <v>119.1</v>
      </c>
      <c r="K74" s="10">
        <v>95.1</v>
      </c>
      <c r="L74" s="10">
        <v>79.7</v>
      </c>
      <c r="M74" s="10">
        <v>54.6</v>
      </c>
      <c r="N74" s="10">
        <v>45.4</v>
      </c>
      <c r="O74" s="10">
        <v>24.8</v>
      </c>
    </row>
    <row r="75" spans="1:15" x14ac:dyDescent="0.15">
      <c r="A75" s="7">
        <v>1.7</v>
      </c>
      <c r="B75" s="10">
        <v>1126.2</v>
      </c>
      <c r="C75" s="10">
        <v>838.3</v>
      </c>
      <c r="D75" s="10">
        <v>677.2</v>
      </c>
      <c r="E75" s="10">
        <v>563.9</v>
      </c>
      <c r="F75" s="10">
        <v>425.9</v>
      </c>
      <c r="G75" s="10">
        <v>272.7</v>
      </c>
      <c r="H75" s="10">
        <v>204</v>
      </c>
      <c r="I75" s="10">
        <v>163.1</v>
      </c>
      <c r="J75" s="10">
        <v>122</v>
      </c>
      <c r="K75" s="10">
        <v>97.2</v>
      </c>
      <c r="L75" s="10">
        <v>81.3</v>
      </c>
      <c r="M75" s="10">
        <v>55.5</v>
      </c>
      <c r="N75" s="10">
        <v>46</v>
      </c>
      <c r="O75" s="10">
        <v>25.1</v>
      </c>
    </row>
    <row r="76" spans="1:15" x14ac:dyDescent="0.15">
      <c r="A76" s="25">
        <v>1.67</v>
      </c>
      <c r="B76" s="10">
        <v>1164.5999999999999</v>
      </c>
      <c r="C76" s="10">
        <v>862.3</v>
      </c>
      <c r="D76" s="10">
        <v>700.4</v>
      </c>
      <c r="E76" s="10">
        <v>576.20000000000005</v>
      </c>
      <c r="F76" s="10">
        <v>434.3</v>
      </c>
      <c r="G76" s="10">
        <v>277.10000000000002</v>
      </c>
      <c r="H76" s="10">
        <v>206.9</v>
      </c>
      <c r="I76" s="10">
        <v>165.2</v>
      </c>
      <c r="J76" s="10">
        <v>123.5</v>
      </c>
      <c r="K76" s="10">
        <v>98.3</v>
      </c>
      <c r="L76" s="10">
        <v>82.1</v>
      </c>
      <c r="M76" s="10">
        <v>56</v>
      </c>
      <c r="N76" s="10">
        <v>46.4</v>
      </c>
      <c r="O76" s="10">
        <v>25.3</v>
      </c>
    </row>
    <row r="77" spans="1:15" x14ac:dyDescent="0.15">
      <c r="A77" s="25">
        <v>1.6</v>
      </c>
      <c r="B77" s="10">
        <v>1251.3</v>
      </c>
      <c r="C77" s="10">
        <v>914</v>
      </c>
      <c r="D77" s="10">
        <v>730.7</v>
      </c>
      <c r="E77" s="10">
        <v>603.9</v>
      </c>
      <c r="F77" s="10">
        <v>453</v>
      </c>
      <c r="G77" s="10">
        <v>287.89999999999998</v>
      </c>
      <c r="H77" s="10">
        <v>214.3</v>
      </c>
      <c r="I77" s="10">
        <v>170.8</v>
      </c>
      <c r="J77" s="10">
        <v>127.3</v>
      </c>
      <c r="K77" s="10">
        <v>101</v>
      </c>
      <c r="L77" s="10">
        <v>84.3</v>
      </c>
      <c r="M77" s="10">
        <v>57.1</v>
      </c>
      <c r="N77" s="10">
        <v>47.2</v>
      </c>
      <c r="O77" s="10">
        <v>25.7</v>
      </c>
    </row>
    <row r="78" spans="1:15" s="29" customFormat="1" x14ac:dyDescent="0.15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</row>
    <row r="79" spans="1:15" x14ac:dyDescent="0.15">
      <c r="A79" s="24" t="s">
        <v>143</v>
      </c>
      <c r="B79" s="24" t="s">
        <v>144</v>
      </c>
      <c r="C79" s="24" t="s">
        <v>120</v>
      </c>
      <c r="D79" s="24" t="s">
        <v>121</v>
      </c>
      <c r="E79" s="24" t="s">
        <v>122</v>
      </c>
      <c r="F79" s="24" t="s">
        <v>123</v>
      </c>
      <c r="G79" s="24" t="s">
        <v>124</v>
      </c>
      <c r="H79" s="24" t="s">
        <v>145</v>
      </c>
      <c r="I79" s="24" t="s">
        <v>146</v>
      </c>
      <c r="J79" s="24" t="s">
        <v>147</v>
      </c>
      <c r="K79" s="24" t="s">
        <v>148</v>
      </c>
      <c r="L79" s="24" t="s">
        <v>149</v>
      </c>
      <c r="M79" s="24" t="s">
        <v>150</v>
      </c>
      <c r="N79" s="24" t="s">
        <v>151</v>
      </c>
      <c r="O79" s="24" t="s">
        <v>152</v>
      </c>
    </row>
    <row r="80" spans="1:15" x14ac:dyDescent="0.15">
      <c r="A80" s="7">
        <v>1.85</v>
      </c>
      <c r="B80" s="10">
        <v>134.1</v>
      </c>
      <c r="C80" s="10">
        <v>107.8</v>
      </c>
      <c r="D80" s="10">
        <v>94.1</v>
      </c>
      <c r="E80" s="10">
        <v>74.3</v>
      </c>
      <c r="F80" s="10">
        <v>52.7</v>
      </c>
      <c r="G80" s="10">
        <v>51.6</v>
      </c>
      <c r="H80" s="10">
        <v>40.700000000000003</v>
      </c>
      <c r="I80" s="10">
        <v>30.3</v>
      </c>
      <c r="J80" s="10">
        <v>24.4</v>
      </c>
      <c r="K80" s="10">
        <v>18.3</v>
      </c>
      <c r="L80" s="10">
        <v>14.5</v>
      </c>
      <c r="M80" s="10">
        <v>12.3</v>
      </c>
      <c r="N80" s="10">
        <v>8.58</v>
      </c>
      <c r="O80" s="10">
        <v>7.35</v>
      </c>
    </row>
    <row r="81" spans="1:15" x14ac:dyDescent="0.15">
      <c r="A81" s="7">
        <v>1.8</v>
      </c>
      <c r="B81" s="10">
        <v>150</v>
      </c>
      <c r="C81" s="10">
        <v>120.6</v>
      </c>
      <c r="D81" s="10">
        <v>105.2</v>
      </c>
      <c r="E81" s="10">
        <v>83.1</v>
      </c>
      <c r="F81" s="10">
        <v>58.9</v>
      </c>
      <c r="G81" s="10">
        <v>54.3</v>
      </c>
      <c r="H81" s="10">
        <v>43</v>
      </c>
      <c r="I81" s="10">
        <v>32</v>
      </c>
      <c r="J81" s="10">
        <v>25.7</v>
      </c>
      <c r="K81" s="10">
        <v>19</v>
      </c>
      <c r="L81" s="10">
        <v>15</v>
      </c>
      <c r="M81" s="10">
        <v>12.8</v>
      </c>
      <c r="N81" s="10">
        <v>8.73</v>
      </c>
      <c r="O81" s="10">
        <v>7.55</v>
      </c>
    </row>
    <row r="82" spans="1:15" x14ac:dyDescent="0.15">
      <c r="A82" s="7">
        <v>1.75</v>
      </c>
      <c r="B82" s="10">
        <v>160.1</v>
      </c>
      <c r="C82" s="10">
        <v>128.69999999999999</v>
      </c>
      <c r="D82" s="10">
        <v>112.3</v>
      </c>
      <c r="E82" s="10">
        <v>88.7</v>
      </c>
      <c r="F82" s="10">
        <v>62.9</v>
      </c>
      <c r="G82" s="10">
        <v>56.1</v>
      </c>
      <c r="H82" s="10">
        <v>44.6</v>
      </c>
      <c r="I82" s="10">
        <v>33.1</v>
      </c>
      <c r="J82" s="10">
        <v>26.6</v>
      </c>
      <c r="K82" s="10">
        <v>19.600000000000001</v>
      </c>
      <c r="L82" s="10">
        <v>15.4</v>
      </c>
      <c r="M82" s="10">
        <v>13.1</v>
      </c>
      <c r="N82" s="10">
        <v>8.8000000000000007</v>
      </c>
      <c r="O82" s="10">
        <v>7.57</v>
      </c>
    </row>
    <row r="83" spans="1:15" x14ac:dyDescent="0.15">
      <c r="A83" s="7">
        <v>1.7</v>
      </c>
      <c r="B83" s="10">
        <v>168.3</v>
      </c>
      <c r="C83" s="10">
        <v>135.30000000000001</v>
      </c>
      <c r="D83" s="10">
        <v>118.1</v>
      </c>
      <c r="E83" s="10">
        <v>93.3</v>
      </c>
      <c r="F83" s="10">
        <v>66.099999999999994</v>
      </c>
      <c r="G83" s="10">
        <v>57.5</v>
      </c>
      <c r="H83" s="10">
        <v>45.5</v>
      </c>
      <c r="I83" s="10">
        <v>33.799999999999997</v>
      </c>
      <c r="J83" s="10">
        <v>27.1</v>
      </c>
      <c r="K83" s="10">
        <v>20</v>
      </c>
      <c r="L83" s="10">
        <v>15.7</v>
      </c>
      <c r="M83" s="10">
        <v>13.3</v>
      </c>
      <c r="N83" s="10">
        <v>8.92</v>
      </c>
      <c r="O83" s="10">
        <v>7.61</v>
      </c>
    </row>
    <row r="84" spans="1:15" x14ac:dyDescent="0.15">
      <c r="A84" s="25">
        <v>1.67</v>
      </c>
      <c r="B84" s="10">
        <v>171</v>
      </c>
      <c r="C84" s="10">
        <v>137.5</v>
      </c>
      <c r="D84" s="10">
        <v>120</v>
      </c>
      <c r="E84" s="10">
        <v>94.8</v>
      </c>
      <c r="F84" s="10">
        <v>67.2</v>
      </c>
      <c r="G84" s="10">
        <v>58.7</v>
      </c>
      <c r="H84" s="10">
        <v>46.4</v>
      </c>
      <c r="I84" s="10">
        <v>34.4</v>
      </c>
      <c r="J84" s="10">
        <v>27.7</v>
      </c>
      <c r="K84" s="10">
        <v>20.3</v>
      </c>
      <c r="L84" s="10">
        <v>15.9</v>
      </c>
      <c r="M84" s="10">
        <v>13.5</v>
      </c>
      <c r="N84" s="10">
        <v>9</v>
      </c>
      <c r="O84" s="10">
        <v>7.72</v>
      </c>
    </row>
    <row r="85" spans="1:15" x14ac:dyDescent="0.15">
      <c r="A85" s="25">
        <v>1.6</v>
      </c>
      <c r="B85" s="10">
        <v>173.4</v>
      </c>
      <c r="C85" s="10">
        <v>139.4</v>
      </c>
      <c r="D85" s="10">
        <v>121.7</v>
      </c>
      <c r="E85" s="10">
        <v>96.1</v>
      </c>
      <c r="F85" s="10">
        <v>68.099999999999994</v>
      </c>
      <c r="G85" s="10">
        <v>59.2</v>
      </c>
      <c r="H85" s="10">
        <v>46.9</v>
      </c>
      <c r="I85" s="10">
        <v>34.799999999999997</v>
      </c>
      <c r="J85" s="10">
        <v>28</v>
      </c>
      <c r="K85" s="10">
        <v>20.7</v>
      </c>
      <c r="L85" s="10">
        <v>16.2</v>
      </c>
      <c r="M85" s="10">
        <v>13.7</v>
      </c>
      <c r="N85" s="10">
        <v>9.0299999999999994</v>
      </c>
      <c r="O85" s="10">
        <v>7.75</v>
      </c>
    </row>
    <row r="86" spans="1:15" s="29" customFormat="1" x14ac:dyDescent="0.15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</row>
    <row r="87" spans="1:15" x14ac:dyDescent="0.15">
      <c r="A87" s="24" t="s">
        <v>153</v>
      </c>
      <c r="B87" s="24" t="s">
        <v>144</v>
      </c>
      <c r="C87" s="24" t="s">
        <v>120</v>
      </c>
      <c r="D87" s="24" t="s">
        <v>121</v>
      </c>
      <c r="E87" s="24" t="s">
        <v>122</v>
      </c>
      <c r="F87" s="24" t="s">
        <v>123</v>
      </c>
      <c r="G87" s="24" t="s">
        <v>124</v>
      </c>
      <c r="H87" s="24" t="s">
        <v>145</v>
      </c>
      <c r="I87" s="24" t="s">
        <v>146</v>
      </c>
      <c r="J87" s="24" t="s">
        <v>147</v>
      </c>
      <c r="K87" s="24" t="s">
        <v>148</v>
      </c>
      <c r="L87" s="24" t="s">
        <v>149</v>
      </c>
      <c r="M87" s="24" t="s">
        <v>150</v>
      </c>
      <c r="N87" s="24" t="s">
        <v>151</v>
      </c>
      <c r="O87" s="24" t="s">
        <v>152</v>
      </c>
    </row>
    <row r="88" spans="1:15" x14ac:dyDescent="0.15">
      <c r="A88" s="7">
        <v>1.85</v>
      </c>
      <c r="B88" s="10">
        <v>208.6</v>
      </c>
      <c r="C88" s="10">
        <v>145.5</v>
      </c>
      <c r="D88" s="10">
        <v>117.5</v>
      </c>
      <c r="E88" s="10">
        <v>99</v>
      </c>
      <c r="F88" s="10">
        <v>79.5</v>
      </c>
      <c r="G88" s="10">
        <v>59.9</v>
      </c>
      <c r="H88" s="10">
        <v>48.7</v>
      </c>
      <c r="I88" s="10">
        <v>35.299999999999997</v>
      </c>
      <c r="J88" s="10">
        <v>28.3</v>
      </c>
      <c r="K88" s="10">
        <v>21</v>
      </c>
      <c r="L88" s="10">
        <v>16.8</v>
      </c>
      <c r="M88" s="10">
        <v>14.1</v>
      </c>
      <c r="N88" s="10">
        <v>10</v>
      </c>
      <c r="O88" s="10">
        <v>8.34</v>
      </c>
    </row>
    <row r="89" spans="1:15" x14ac:dyDescent="0.15">
      <c r="A89" s="7">
        <v>1.8</v>
      </c>
      <c r="B89" s="10">
        <v>235.8</v>
      </c>
      <c r="C89" s="10">
        <v>168.7</v>
      </c>
      <c r="D89" s="10">
        <v>135.19999999999999</v>
      </c>
      <c r="E89" s="10">
        <v>113</v>
      </c>
      <c r="F89" s="10">
        <v>85.6</v>
      </c>
      <c r="G89" s="10">
        <v>63.4</v>
      </c>
      <c r="H89" s="10">
        <v>50.7</v>
      </c>
      <c r="I89" s="10">
        <v>37.700000000000003</v>
      </c>
      <c r="J89" s="10">
        <v>30.1</v>
      </c>
      <c r="K89" s="10">
        <v>22.7</v>
      </c>
      <c r="L89" s="10">
        <v>18.100000000000001</v>
      </c>
      <c r="M89" s="10">
        <v>15.1</v>
      </c>
      <c r="N89" s="10">
        <v>10.6</v>
      </c>
      <c r="O89" s="10">
        <v>8.89</v>
      </c>
    </row>
    <row r="90" spans="1:15" x14ac:dyDescent="0.15">
      <c r="A90" s="7">
        <v>1.75</v>
      </c>
      <c r="B90" s="10">
        <v>254.1</v>
      </c>
      <c r="C90" s="10">
        <v>178.4</v>
      </c>
      <c r="D90" s="10">
        <v>141.5</v>
      </c>
      <c r="E90" s="10">
        <v>117.4</v>
      </c>
      <c r="F90" s="10">
        <v>88.7</v>
      </c>
      <c r="G90" s="10">
        <v>65.5</v>
      </c>
      <c r="H90" s="10">
        <v>52.2</v>
      </c>
      <c r="I90" s="10">
        <v>38.799999999999997</v>
      </c>
      <c r="J90" s="10">
        <v>30.9</v>
      </c>
      <c r="K90" s="10">
        <v>23.2</v>
      </c>
      <c r="L90" s="10">
        <v>18.399999999999999</v>
      </c>
      <c r="M90" s="10">
        <v>15.4</v>
      </c>
      <c r="N90" s="10">
        <v>10.8</v>
      </c>
      <c r="O90" s="10">
        <v>9.02</v>
      </c>
    </row>
    <row r="91" spans="1:15" x14ac:dyDescent="0.15">
      <c r="A91" s="7">
        <v>1.7</v>
      </c>
      <c r="B91" s="10">
        <v>270.10000000000002</v>
      </c>
      <c r="C91" s="10">
        <v>187.5</v>
      </c>
      <c r="D91" s="10">
        <v>147.9</v>
      </c>
      <c r="E91" s="10">
        <v>122.3</v>
      </c>
      <c r="F91" s="10">
        <v>91.7</v>
      </c>
      <c r="G91" s="10">
        <v>67.400000000000006</v>
      </c>
      <c r="H91" s="10">
        <v>53.7</v>
      </c>
      <c r="I91" s="10">
        <v>39.799999999999997</v>
      </c>
      <c r="J91" s="10">
        <v>31.7</v>
      </c>
      <c r="K91" s="10">
        <v>23.8</v>
      </c>
      <c r="L91" s="10">
        <v>18.8</v>
      </c>
      <c r="M91" s="10">
        <v>15.7</v>
      </c>
      <c r="N91" s="10">
        <v>11</v>
      </c>
      <c r="O91" s="10">
        <v>9.14</v>
      </c>
    </row>
    <row r="92" spans="1:15" x14ac:dyDescent="0.15">
      <c r="A92" s="25">
        <v>1.67</v>
      </c>
      <c r="B92" s="10">
        <v>280</v>
      </c>
      <c r="C92" s="10">
        <v>192.7</v>
      </c>
      <c r="D92" s="10">
        <v>160</v>
      </c>
      <c r="E92" s="10">
        <v>125</v>
      </c>
      <c r="F92" s="10">
        <v>93.6</v>
      </c>
      <c r="G92" s="10">
        <v>68.599999999999994</v>
      </c>
      <c r="H92" s="10">
        <v>54.6</v>
      </c>
      <c r="I92" s="10">
        <v>40.4</v>
      </c>
      <c r="J92" s="10">
        <v>32.1</v>
      </c>
      <c r="K92" s="10">
        <v>24</v>
      </c>
      <c r="L92" s="10">
        <v>19</v>
      </c>
      <c r="M92" s="10">
        <v>15.9</v>
      </c>
      <c r="N92" s="10">
        <v>11.1</v>
      </c>
      <c r="O92" s="10">
        <v>9.2100000000000009</v>
      </c>
    </row>
    <row r="93" spans="1:15" x14ac:dyDescent="0.15">
      <c r="A93" s="25">
        <v>1.6</v>
      </c>
      <c r="B93" s="10">
        <v>284</v>
      </c>
      <c r="C93" s="10">
        <v>204</v>
      </c>
      <c r="D93" s="10">
        <v>163.19999999999999</v>
      </c>
      <c r="E93" s="10">
        <v>131</v>
      </c>
      <c r="F93" s="10">
        <v>97.6</v>
      </c>
      <c r="G93" s="10">
        <v>71.400000000000006</v>
      </c>
      <c r="H93" s="10">
        <v>56.7</v>
      </c>
      <c r="I93" s="10">
        <v>41.8</v>
      </c>
      <c r="J93" s="10">
        <v>33.200000000000003</v>
      </c>
      <c r="K93" s="10">
        <v>24.8</v>
      </c>
      <c r="L93" s="10">
        <v>19.600000000000001</v>
      </c>
      <c r="M93" s="10">
        <v>16.3</v>
      </c>
      <c r="N93" s="10">
        <v>11.3</v>
      </c>
      <c r="O93" s="10">
        <v>9.3800000000000008</v>
      </c>
    </row>
    <row r="94" spans="1:15" s="29" customFormat="1" x14ac:dyDescent="0.15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</row>
    <row r="95" spans="1:15" x14ac:dyDescent="0.15">
      <c r="A95" s="61" t="s">
        <v>214</v>
      </c>
      <c r="B95" s="24" t="s">
        <v>144</v>
      </c>
      <c r="C95" s="24" t="s">
        <v>120</v>
      </c>
      <c r="D95" s="24" t="s">
        <v>121</v>
      </c>
      <c r="E95" s="24" t="s">
        <v>122</v>
      </c>
      <c r="F95" s="24" t="s">
        <v>123</v>
      </c>
      <c r="G95" s="24" t="s">
        <v>124</v>
      </c>
      <c r="H95" s="24" t="s">
        <v>145</v>
      </c>
      <c r="I95" s="24" t="s">
        <v>146</v>
      </c>
      <c r="J95" s="24" t="s">
        <v>147</v>
      </c>
      <c r="K95" s="24" t="s">
        <v>148</v>
      </c>
      <c r="L95" s="24" t="s">
        <v>149</v>
      </c>
      <c r="M95" s="24" t="s">
        <v>150</v>
      </c>
      <c r="N95" s="24" t="s">
        <v>151</v>
      </c>
      <c r="O95" s="24" t="s">
        <v>152</v>
      </c>
    </row>
    <row r="96" spans="1:15" x14ac:dyDescent="0.15">
      <c r="A96" s="7">
        <v>1.85</v>
      </c>
      <c r="B96" s="10">
        <v>228.4</v>
      </c>
      <c r="C96" s="10">
        <v>171.8</v>
      </c>
      <c r="D96" s="10">
        <v>143.6</v>
      </c>
      <c r="E96" s="10">
        <v>121</v>
      </c>
      <c r="F96" s="10">
        <v>93.3</v>
      </c>
      <c r="G96" s="10">
        <v>69.8</v>
      </c>
      <c r="H96" s="10">
        <v>56.3</v>
      </c>
      <c r="I96" s="10">
        <v>42.4</v>
      </c>
      <c r="J96" s="10">
        <v>34</v>
      </c>
      <c r="K96" s="10">
        <v>25.7</v>
      </c>
      <c r="L96" s="10">
        <v>20.5</v>
      </c>
      <c r="M96" s="10">
        <v>17.2</v>
      </c>
      <c r="N96" s="10">
        <v>12.2</v>
      </c>
      <c r="O96" s="10">
        <v>10.199999999999999</v>
      </c>
    </row>
    <row r="97" spans="1:15" x14ac:dyDescent="0.15">
      <c r="A97" s="7">
        <v>1.8</v>
      </c>
      <c r="B97" s="10">
        <v>262.2</v>
      </c>
      <c r="C97" s="10">
        <v>200.1</v>
      </c>
      <c r="D97" s="10">
        <v>165.2</v>
      </c>
      <c r="E97" s="10">
        <v>138.1</v>
      </c>
      <c r="F97" s="10">
        <v>104.6</v>
      </c>
      <c r="G97" s="10">
        <v>77.5</v>
      </c>
      <c r="H97" s="10">
        <v>61.9</v>
      </c>
      <c r="I97" s="10">
        <v>46.1</v>
      </c>
      <c r="J97" s="10">
        <v>36.799999999999997</v>
      </c>
      <c r="K97" s="10">
        <v>27.7</v>
      </c>
      <c r="L97" s="10">
        <v>22.1</v>
      </c>
      <c r="M97" s="10">
        <v>18.5</v>
      </c>
      <c r="N97" s="10">
        <v>13</v>
      </c>
      <c r="O97" s="10">
        <v>10.9</v>
      </c>
    </row>
    <row r="98" spans="1:15" x14ac:dyDescent="0.15">
      <c r="A98" s="7">
        <v>1.75</v>
      </c>
      <c r="B98" s="10">
        <v>281.7</v>
      </c>
      <c r="C98" s="10">
        <v>211.9</v>
      </c>
      <c r="D98" s="10">
        <v>172.9</v>
      </c>
      <c r="E98" s="10">
        <v>143.5</v>
      </c>
      <c r="F98" s="10">
        <v>108.4</v>
      </c>
      <c r="G98" s="10">
        <v>80.099999999999994</v>
      </c>
      <c r="H98" s="10">
        <v>63.8</v>
      </c>
      <c r="I98" s="10">
        <v>47.4</v>
      </c>
      <c r="J98" s="10">
        <v>37.700000000000003</v>
      </c>
      <c r="K98" s="10">
        <v>28.3</v>
      </c>
      <c r="L98" s="10">
        <v>22.5</v>
      </c>
      <c r="M98" s="10">
        <v>18.8</v>
      </c>
      <c r="N98" s="10">
        <v>13.2</v>
      </c>
      <c r="O98" s="10">
        <v>11</v>
      </c>
    </row>
    <row r="99" spans="1:15" x14ac:dyDescent="0.15">
      <c r="A99" s="7">
        <v>1.7</v>
      </c>
      <c r="B99" s="10">
        <v>300.2</v>
      </c>
      <c r="C99" s="10">
        <v>223.1</v>
      </c>
      <c r="D99" s="10">
        <v>180.7</v>
      </c>
      <c r="E99" s="10">
        <v>149.5</v>
      </c>
      <c r="F99" s="10">
        <v>112.1</v>
      </c>
      <c r="G99" s="10">
        <v>82.4</v>
      </c>
      <c r="H99" s="10">
        <v>65.599999999999994</v>
      </c>
      <c r="I99" s="10">
        <v>48.7</v>
      </c>
      <c r="J99" s="10">
        <v>38.700000000000003</v>
      </c>
      <c r="K99" s="10">
        <v>29</v>
      </c>
      <c r="L99" s="10">
        <v>23</v>
      </c>
      <c r="M99" s="10">
        <v>19.2</v>
      </c>
      <c r="N99" s="10">
        <v>13.4</v>
      </c>
      <c r="O99" s="10">
        <v>11.2</v>
      </c>
    </row>
    <row r="100" spans="1:15" x14ac:dyDescent="0.15">
      <c r="A100" s="25">
        <v>1.67</v>
      </c>
      <c r="B100" s="10">
        <v>310.39999999999998</v>
      </c>
      <c r="C100" s="10">
        <v>229.5</v>
      </c>
      <c r="D100" s="10">
        <v>185</v>
      </c>
      <c r="E100" s="10">
        <v>152.80000000000001</v>
      </c>
      <c r="F100" s="10">
        <v>114.4</v>
      </c>
      <c r="G100" s="10">
        <v>83.9</v>
      </c>
      <c r="H100" s="10">
        <v>66.7</v>
      </c>
      <c r="I100" s="10">
        <v>49.4</v>
      </c>
      <c r="J100" s="10">
        <v>39.200000000000003</v>
      </c>
      <c r="K100" s="10">
        <v>29.4</v>
      </c>
      <c r="L100" s="10">
        <v>23.3</v>
      </c>
      <c r="M100" s="10">
        <v>19.399999999999999</v>
      </c>
      <c r="N100" s="10">
        <v>13.6</v>
      </c>
      <c r="O100" s="10">
        <v>11.3</v>
      </c>
    </row>
    <row r="101" spans="1:15" x14ac:dyDescent="0.15">
      <c r="A101" s="25">
        <v>1.6</v>
      </c>
      <c r="B101" s="10">
        <v>333.5</v>
      </c>
      <c r="C101" s="10">
        <v>243.2</v>
      </c>
      <c r="D101" s="10">
        <v>195</v>
      </c>
      <c r="E101" s="10">
        <v>160.1</v>
      </c>
      <c r="F101" s="10">
        <v>119.3</v>
      </c>
      <c r="G101" s="10">
        <v>87.3</v>
      </c>
      <c r="H101" s="10">
        <v>69.3</v>
      </c>
      <c r="I101" s="10">
        <v>51.1</v>
      </c>
      <c r="J101" s="10">
        <v>40.6</v>
      </c>
      <c r="K101" s="10">
        <v>30.3</v>
      </c>
      <c r="L101" s="10">
        <v>23.9</v>
      </c>
      <c r="M101" s="10">
        <v>19.899999999999999</v>
      </c>
      <c r="N101" s="10">
        <v>13.8</v>
      </c>
      <c r="O101" s="10">
        <v>11.5</v>
      </c>
    </row>
    <row r="102" spans="1:15" s="29" customFormat="1" x14ac:dyDescent="0.15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</row>
    <row r="103" spans="1:15" x14ac:dyDescent="0.15">
      <c r="A103" s="24" t="s">
        <v>154</v>
      </c>
      <c r="B103" s="24" t="s">
        <v>144</v>
      </c>
      <c r="C103" s="24" t="s">
        <v>120</v>
      </c>
      <c r="D103" s="24" t="s">
        <v>121</v>
      </c>
      <c r="E103" s="24" t="s">
        <v>122</v>
      </c>
      <c r="F103" s="24" t="s">
        <v>123</v>
      </c>
      <c r="G103" s="24" t="s">
        <v>124</v>
      </c>
      <c r="H103" s="24" t="s">
        <v>145</v>
      </c>
      <c r="I103" s="24" t="s">
        <v>146</v>
      </c>
      <c r="J103" s="24" t="s">
        <v>147</v>
      </c>
      <c r="K103" s="24" t="s">
        <v>148</v>
      </c>
      <c r="L103" s="24" t="s">
        <v>149</v>
      </c>
      <c r="M103" s="24" t="s">
        <v>150</v>
      </c>
      <c r="N103" s="24" t="s">
        <v>151</v>
      </c>
      <c r="O103" s="24" t="s">
        <v>152</v>
      </c>
    </row>
    <row r="104" spans="1:15" x14ac:dyDescent="0.15">
      <c r="A104" s="7">
        <v>1.85</v>
      </c>
      <c r="B104" s="10">
        <v>280.3</v>
      </c>
      <c r="C104" s="10">
        <v>200.5</v>
      </c>
      <c r="D104" s="10">
        <v>177.3</v>
      </c>
      <c r="E104" s="10">
        <v>163.4</v>
      </c>
      <c r="F104" s="10">
        <v>127.2</v>
      </c>
      <c r="G104" s="10">
        <v>95.2</v>
      </c>
      <c r="H104" s="10">
        <v>76.8</v>
      </c>
      <c r="I104" s="10">
        <v>57</v>
      </c>
      <c r="J104" s="10">
        <v>46.2</v>
      </c>
      <c r="K104" s="10">
        <v>34.1</v>
      </c>
      <c r="L104" s="10">
        <v>27.2</v>
      </c>
      <c r="M104" s="10">
        <v>22.7</v>
      </c>
      <c r="N104" s="10">
        <v>15.7</v>
      </c>
      <c r="O104" s="10">
        <v>13.1</v>
      </c>
    </row>
    <row r="105" spans="1:15" x14ac:dyDescent="0.15">
      <c r="A105" s="7">
        <v>1.8</v>
      </c>
      <c r="B105" s="10">
        <v>316.8</v>
      </c>
      <c r="C105" s="10">
        <v>220.1</v>
      </c>
      <c r="D105" s="10">
        <v>187.3</v>
      </c>
      <c r="E105" s="10">
        <v>174.5</v>
      </c>
      <c r="F105" s="10">
        <v>142.19999999999999</v>
      </c>
      <c r="G105" s="10">
        <v>105.3</v>
      </c>
      <c r="H105" s="10">
        <v>83.4</v>
      </c>
      <c r="I105" s="10">
        <v>60</v>
      </c>
      <c r="J105" s="10">
        <v>49</v>
      </c>
      <c r="K105" s="10">
        <v>35</v>
      </c>
      <c r="L105" s="10">
        <v>27.9</v>
      </c>
      <c r="M105" s="10">
        <v>23.2</v>
      </c>
      <c r="N105" s="10">
        <v>15.9</v>
      </c>
      <c r="O105" s="10">
        <v>13.3</v>
      </c>
    </row>
    <row r="106" spans="1:15" x14ac:dyDescent="0.15">
      <c r="A106" s="7">
        <v>1.75</v>
      </c>
      <c r="B106" s="10">
        <v>341.5</v>
      </c>
      <c r="C106" s="10">
        <v>240.6</v>
      </c>
      <c r="D106" s="10">
        <v>197.1</v>
      </c>
      <c r="E106" s="10">
        <v>183.3</v>
      </c>
      <c r="F106" s="10">
        <v>147</v>
      </c>
      <c r="G106" s="10">
        <v>108.2</v>
      </c>
      <c r="H106" s="10">
        <v>86.1</v>
      </c>
      <c r="I106" s="10">
        <v>63.7</v>
      </c>
      <c r="J106" s="10">
        <v>50.4</v>
      </c>
      <c r="K106" s="10">
        <v>35.6</v>
      </c>
      <c r="L106" s="10">
        <v>28.3</v>
      </c>
      <c r="M106" s="10">
        <v>23.7</v>
      </c>
      <c r="N106" s="10">
        <v>16.2</v>
      </c>
      <c r="O106" s="10">
        <v>13.5</v>
      </c>
    </row>
    <row r="107" spans="1:15" x14ac:dyDescent="0.15">
      <c r="A107" s="7">
        <v>1.7</v>
      </c>
      <c r="B107" s="10">
        <v>362.9</v>
      </c>
      <c r="C107" s="10">
        <v>255.7</v>
      </c>
      <c r="D107" s="10">
        <v>206.9</v>
      </c>
      <c r="E107" s="10">
        <v>193.1</v>
      </c>
      <c r="F107" s="10">
        <v>150.9</v>
      </c>
      <c r="G107" s="10">
        <v>111.2</v>
      </c>
      <c r="H107" s="10">
        <v>88.9</v>
      </c>
      <c r="I107" s="10">
        <v>64.5</v>
      </c>
      <c r="J107" s="10">
        <v>51.2</v>
      </c>
      <c r="K107" s="10">
        <v>36.200000000000003</v>
      </c>
      <c r="L107" s="10">
        <v>28.9</v>
      </c>
      <c r="M107" s="10">
        <v>24</v>
      </c>
      <c r="N107" s="10">
        <v>16.399999999999999</v>
      </c>
      <c r="O107" s="10">
        <v>13.6</v>
      </c>
    </row>
    <row r="108" spans="1:15" x14ac:dyDescent="0.15">
      <c r="A108" s="25">
        <v>1.67</v>
      </c>
      <c r="B108" s="10">
        <v>376.3</v>
      </c>
      <c r="C108" s="10">
        <v>271.10000000000002</v>
      </c>
      <c r="D108" s="10">
        <v>215</v>
      </c>
      <c r="E108" s="10">
        <v>200.7</v>
      </c>
      <c r="F108" s="10">
        <v>155.9</v>
      </c>
      <c r="G108" s="10">
        <v>114</v>
      </c>
      <c r="H108" s="10">
        <v>90.7</v>
      </c>
      <c r="I108" s="10">
        <v>65.400000000000006</v>
      </c>
      <c r="J108" s="10">
        <v>51.9</v>
      </c>
      <c r="K108" s="10">
        <v>36.6</v>
      </c>
      <c r="L108" s="10">
        <v>29.2</v>
      </c>
      <c r="M108" s="10">
        <v>24.3</v>
      </c>
      <c r="N108" s="10">
        <v>16.600000000000001</v>
      </c>
      <c r="O108" s="10">
        <v>13.8</v>
      </c>
    </row>
    <row r="109" spans="1:15" x14ac:dyDescent="0.15">
      <c r="A109" s="25">
        <v>1.6</v>
      </c>
      <c r="B109" s="10">
        <v>381.6</v>
      </c>
      <c r="C109" s="10">
        <v>290.39999999999998</v>
      </c>
      <c r="D109" s="10">
        <v>225</v>
      </c>
      <c r="E109" s="10">
        <v>209.3</v>
      </c>
      <c r="F109" s="10">
        <v>160.1</v>
      </c>
      <c r="G109" s="10">
        <v>117</v>
      </c>
      <c r="H109" s="10">
        <v>92.8</v>
      </c>
      <c r="I109" s="10">
        <v>66.3</v>
      </c>
      <c r="J109" s="10">
        <v>52.3</v>
      </c>
      <c r="K109" s="10">
        <v>36.799999999999997</v>
      </c>
      <c r="L109" s="10">
        <v>29.5</v>
      </c>
      <c r="M109" s="10">
        <v>24.5</v>
      </c>
      <c r="N109" s="10">
        <v>16.7</v>
      </c>
      <c r="O109" s="10">
        <v>13.9</v>
      </c>
    </row>
    <row r="110" spans="1:15" s="29" customFormat="1" x14ac:dyDescent="0.15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</row>
    <row r="111" spans="1:15" x14ac:dyDescent="0.15">
      <c r="A111" s="24" t="s">
        <v>155</v>
      </c>
      <c r="B111" s="24" t="s">
        <v>144</v>
      </c>
      <c r="C111" s="24" t="s">
        <v>120</v>
      </c>
      <c r="D111" s="24" t="s">
        <v>121</v>
      </c>
      <c r="E111" s="24" t="s">
        <v>122</v>
      </c>
      <c r="F111" s="24" t="s">
        <v>123</v>
      </c>
      <c r="G111" s="24" t="s">
        <v>124</v>
      </c>
      <c r="H111" s="24" t="s">
        <v>145</v>
      </c>
      <c r="I111" s="24" t="s">
        <v>146</v>
      </c>
      <c r="J111" s="24" t="s">
        <v>147</v>
      </c>
      <c r="K111" s="24" t="s">
        <v>148</v>
      </c>
      <c r="L111" s="24" t="s">
        <v>149</v>
      </c>
      <c r="M111" s="24" t="s">
        <v>150</v>
      </c>
      <c r="N111" s="24" t="s">
        <v>151</v>
      </c>
      <c r="O111" s="24" t="s">
        <v>152</v>
      </c>
    </row>
    <row r="112" spans="1:15" x14ac:dyDescent="0.15">
      <c r="A112" s="7">
        <v>1.85</v>
      </c>
      <c r="B112" s="10">
        <v>301.39999999999998</v>
      </c>
      <c r="C112" s="10">
        <v>225.9</v>
      </c>
      <c r="D112" s="10">
        <v>189.1</v>
      </c>
      <c r="E112" s="10">
        <v>159.4</v>
      </c>
      <c r="F112" s="10">
        <v>135.19999999999999</v>
      </c>
      <c r="G112" s="10">
        <v>98.9</v>
      </c>
      <c r="H112" s="10">
        <v>78.599999999999994</v>
      </c>
      <c r="I112" s="10">
        <v>57.8</v>
      </c>
      <c r="J112" s="10">
        <v>46.4</v>
      </c>
      <c r="K112" s="10">
        <v>35.1</v>
      </c>
      <c r="L112" s="10">
        <v>28</v>
      </c>
      <c r="M112" s="10">
        <v>23.5</v>
      </c>
      <c r="N112" s="10">
        <v>16.600000000000001</v>
      </c>
      <c r="O112" s="10">
        <v>13.9</v>
      </c>
    </row>
    <row r="113" spans="1:15" x14ac:dyDescent="0.15">
      <c r="A113" s="7">
        <v>1.8</v>
      </c>
      <c r="B113" s="10">
        <v>349.5</v>
      </c>
      <c r="C113" s="10">
        <v>265.3</v>
      </c>
      <c r="D113" s="10">
        <v>219.2</v>
      </c>
      <c r="E113" s="10">
        <v>183.1</v>
      </c>
      <c r="F113" s="10">
        <v>142.6</v>
      </c>
      <c r="G113" s="10">
        <v>105.7</v>
      </c>
      <c r="H113" s="10">
        <v>84.4</v>
      </c>
      <c r="I113" s="10">
        <v>61</v>
      </c>
      <c r="J113" s="10">
        <v>49.2</v>
      </c>
      <c r="K113" s="10">
        <v>36.700000000000003</v>
      </c>
      <c r="L113" s="10">
        <v>30.1</v>
      </c>
      <c r="M113" s="10">
        <v>25.2</v>
      </c>
      <c r="N113" s="10">
        <v>17.7</v>
      </c>
      <c r="O113" s="10">
        <v>14.8</v>
      </c>
    </row>
    <row r="114" spans="1:15" x14ac:dyDescent="0.15">
      <c r="A114" s="7">
        <v>1.75</v>
      </c>
      <c r="B114" s="10">
        <v>384.2</v>
      </c>
      <c r="C114" s="10">
        <v>283</v>
      </c>
      <c r="D114" s="10">
        <v>232.7</v>
      </c>
      <c r="E114" s="10">
        <v>191</v>
      </c>
      <c r="F114" s="10">
        <v>147.80000000000001</v>
      </c>
      <c r="G114" s="10">
        <v>109.2</v>
      </c>
      <c r="H114" s="10">
        <v>86.9</v>
      </c>
      <c r="I114" s="10">
        <v>64</v>
      </c>
      <c r="J114" s="10">
        <v>51.4</v>
      </c>
      <c r="K114" s="10">
        <v>38</v>
      </c>
      <c r="L114" s="10">
        <v>30.7</v>
      </c>
      <c r="M114" s="10">
        <v>25.7</v>
      </c>
      <c r="N114" s="10">
        <v>18</v>
      </c>
      <c r="O114" s="10">
        <v>15</v>
      </c>
    </row>
    <row r="115" spans="1:15" x14ac:dyDescent="0.15">
      <c r="A115" s="7">
        <v>1.7</v>
      </c>
      <c r="B115" s="10">
        <v>409.3</v>
      </c>
      <c r="C115" s="10">
        <v>304.2</v>
      </c>
      <c r="D115" s="10">
        <v>246.5</v>
      </c>
      <c r="E115" s="10">
        <v>203.9</v>
      </c>
      <c r="F115" s="10">
        <v>152.9</v>
      </c>
      <c r="G115" s="10">
        <v>112.4</v>
      </c>
      <c r="H115" s="10">
        <v>89.5</v>
      </c>
      <c r="I115" s="10">
        <v>66.400000000000006</v>
      </c>
      <c r="J115" s="10">
        <v>52.8</v>
      </c>
      <c r="K115" s="10">
        <v>39.1</v>
      </c>
      <c r="L115" s="10">
        <v>31.4</v>
      </c>
      <c r="M115" s="10">
        <v>26.2</v>
      </c>
      <c r="N115" s="10">
        <v>18.3</v>
      </c>
      <c r="O115" s="10">
        <v>15.2</v>
      </c>
    </row>
    <row r="116" spans="1:15" x14ac:dyDescent="0.15">
      <c r="A116" s="25">
        <v>1.67</v>
      </c>
      <c r="B116" s="10">
        <v>418.3</v>
      </c>
      <c r="C116" s="10">
        <v>312.89999999999998</v>
      </c>
      <c r="D116" s="10">
        <v>255</v>
      </c>
      <c r="E116" s="10">
        <v>209.4</v>
      </c>
      <c r="F116" s="10">
        <v>158.6</v>
      </c>
      <c r="G116" s="10">
        <v>114.4</v>
      </c>
      <c r="H116" s="10">
        <v>90.9</v>
      </c>
      <c r="I116" s="10">
        <v>67.3</v>
      </c>
      <c r="J116" s="10">
        <v>53.5</v>
      </c>
      <c r="K116" s="10">
        <v>39.799999999999997</v>
      </c>
      <c r="L116" s="10">
        <v>31.7</v>
      </c>
      <c r="M116" s="10">
        <v>26.5</v>
      </c>
      <c r="N116" s="10">
        <v>18.5</v>
      </c>
      <c r="O116" s="10">
        <v>15.4</v>
      </c>
    </row>
    <row r="117" spans="1:15" x14ac:dyDescent="0.15">
      <c r="A117" s="25">
        <v>1.6</v>
      </c>
      <c r="B117" s="10">
        <v>424.6</v>
      </c>
      <c r="C117" s="10">
        <v>331.7</v>
      </c>
      <c r="D117" s="10">
        <v>265.89999999999998</v>
      </c>
      <c r="E117" s="10">
        <v>223.3</v>
      </c>
      <c r="F117" s="10">
        <v>162.6</v>
      </c>
      <c r="G117" s="10">
        <v>119</v>
      </c>
      <c r="H117" s="10">
        <v>94.5</v>
      </c>
      <c r="I117" s="10">
        <v>69.3</v>
      </c>
      <c r="J117" s="10">
        <v>55.1</v>
      </c>
      <c r="K117" s="10">
        <v>40.4</v>
      </c>
      <c r="L117" s="10">
        <v>32.6</v>
      </c>
      <c r="M117" s="10">
        <v>27.1</v>
      </c>
      <c r="N117" s="10">
        <v>18.899999999999999</v>
      </c>
      <c r="O117" s="10">
        <v>15.6</v>
      </c>
    </row>
    <row r="118" spans="1:15" s="29" customFormat="1" x14ac:dyDescent="0.15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</row>
    <row r="119" spans="1:15" x14ac:dyDescent="0.15">
      <c r="A119" s="24" t="s">
        <v>156</v>
      </c>
      <c r="B119" s="24" t="s">
        <v>144</v>
      </c>
      <c r="C119" s="24" t="s">
        <v>120</v>
      </c>
      <c r="D119" s="24" t="s">
        <v>121</v>
      </c>
      <c r="E119" s="24" t="s">
        <v>122</v>
      </c>
      <c r="F119" s="24" t="s">
        <v>123</v>
      </c>
      <c r="G119" s="24" t="s">
        <v>124</v>
      </c>
      <c r="H119" s="24" t="s">
        <v>145</v>
      </c>
      <c r="I119" s="24" t="s">
        <v>146</v>
      </c>
      <c r="J119" s="24" t="s">
        <v>147</v>
      </c>
      <c r="K119" s="24" t="s">
        <v>148</v>
      </c>
      <c r="L119" s="24" t="s">
        <v>149</v>
      </c>
      <c r="M119" s="24" t="s">
        <v>150</v>
      </c>
      <c r="N119" s="24" t="s">
        <v>151</v>
      </c>
      <c r="O119" s="24" t="s">
        <v>152</v>
      </c>
    </row>
    <row r="120" spans="1:15" x14ac:dyDescent="0.15">
      <c r="A120" s="7">
        <v>1.85</v>
      </c>
      <c r="B120" s="10">
        <v>333.9</v>
      </c>
      <c r="C120" s="10">
        <v>273.3</v>
      </c>
      <c r="D120" s="10">
        <v>251</v>
      </c>
      <c r="E120" s="10">
        <v>192.3</v>
      </c>
      <c r="F120" s="10">
        <v>138.19999999999999</v>
      </c>
      <c r="G120" s="10">
        <v>105.4</v>
      </c>
      <c r="H120" s="10">
        <v>80.5</v>
      </c>
      <c r="I120" s="10">
        <v>55.4</v>
      </c>
      <c r="J120" s="10">
        <v>44.3</v>
      </c>
      <c r="K120" s="10">
        <v>37.200000000000003</v>
      </c>
      <c r="L120" s="10">
        <v>29.5</v>
      </c>
      <c r="M120" s="10">
        <v>25.7</v>
      </c>
      <c r="N120" s="10">
        <v>17.100000000000001</v>
      </c>
      <c r="O120" s="10">
        <v>14.8</v>
      </c>
    </row>
    <row r="121" spans="1:15" x14ac:dyDescent="0.15">
      <c r="A121" s="7">
        <v>1.8</v>
      </c>
      <c r="B121" s="10">
        <v>367.3</v>
      </c>
      <c r="C121" s="10">
        <v>297.39999999999998</v>
      </c>
      <c r="D121" s="10">
        <v>262.8</v>
      </c>
      <c r="E121" s="10">
        <v>214.1</v>
      </c>
      <c r="F121" s="10">
        <v>147.80000000000001</v>
      </c>
      <c r="G121" s="10">
        <v>111.5</v>
      </c>
      <c r="H121" s="10">
        <v>85.1</v>
      </c>
      <c r="I121" s="10">
        <v>58.6</v>
      </c>
      <c r="J121" s="10">
        <v>46.9</v>
      </c>
      <c r="K121" s="10">
        <v>38.9</v>
      </c>
      <c r="L121" s="10">
        <v>31.1</v>
      </c>
      <c r="M121" s="10">
        <v>26.5</v>
      </c>
      <c r="N121" s="10">
        <v>17.8</v>
      </c>
      <c r="O121" s="10">
        <v>15.3</v>
      </c>
    </row>
    <row r="122" spans="1:15" x14ac:dyDescent="0.15">
      <c r="A122" s="7">
        <v>1.75</v>
      </c>
      <c r="B122" s="10">
        <v>400.7</v>
      </c>
      <c r="C122" s="10">
        <v>321.5</v>
      </c>
      <c r="D122" s="10">
        <v>281.89999999999998</v>
      </c>
      <c r="E122" s="10">
        <v>216.8</v>
      </c>
      <c r="F122" s="10">
        <v>151</v>
      </c>
      <c r="G122" s="10">
        <v>114.3</v>
      </c>
      <c r="H122" s="10">
        <v>87.2</v>
      </c>
      <c r="I122" s="10">
        <v>60</v>
      </c>
      <c r="J122" s="10">
        <v>48</v>
      </c>
      <c r="K122" s="10">
        <v>39.799999999999997</v>
      </c>
      <c r="L122" s="10">
        <v>31.6</v>
      </c>
      <c r="M122" s="10">
        <v>26.8</v>
      </c>
      <c r="N122" s="10">
        <v>18.2</v>
      </c>
      <c r="O122" s="10">
        <v>15.6</v>
      </c>
    </row>
    <row r="123" spans="1:15" x14ac:dyDescent="0.15">
      <c r="A123" s="7">
        <v>1.7</v>
      </c>
      <c r="B123" s="10">
        <v>434.1</v>
      </c>
      <c r="C123" s="10">
        <v>345.6</v>
      </c>
      <c r="D123" s="10">
        <v>291</v>
      </c>
      <c r="E123" s="10">
        <v>221.1</v>
      </c>
      <c r="F123" s="10">
        <v>153.80000000000001</v>
      </c>
      <c r="G123" s="10">
        <v>115.9</v>
      </c>
      <c r="H123" s="10">
        <v>88.5</v>
      </c>
      <c r="I123" s="10">
        <v>60.9</v>
      </c>
      <c r="J123" s="10">
        <v>48.7</v>
      </c>
      <c r="K123" s="10">
        <v>40.4</v>
      </c>
      <c r="L123" s="10">
        <v>31.9</v>
      </c>
      <c r="M123" s="10">
        <v>27</v>
      </c>
      <c r="N123" s="10">
        <v>18.399999999999999</v>
      </c>
      <c r="O123" s="10">
        <v>15.7</v>
      </c>
    </row>
    <row r="124" spans="1:15" x14ac:dyDescent="0.15">
      <c r="A124" s="25">
        <v>1.67</v>
      </c>
      <c r="B124" s="10">
        <v>474.1</v>
      </c>
      <c r="C124" s="10">
        <v>368.1</v>
      </c>
      <c r="D124" s="10">
        <v>300</v>
      </c>
      <c r="E124" s="10">
        <v>225.4</v>
      </c>
      <c r="F124" s="10">
        <v>154.19999999999999</v>
      </c>
      <c r="G124" s="10">
        <v>116.7</v>
      </c>
      <c r="H124" s="10">
        <v>89.1</v>
      </c>
      <c r="I124" s="10">
        <v>61.3</v>
      </c>
      <c r="J124" s="10">
        <v>49</v>
      </c>
      <c r="K124" s="10">
        <v>40.6</v>
      </c>
      <c r="L124" s="10">
        <v>32.1</v>
      </c>
      <c r="M124" s="10">
        <v>27.1</v>
      </c>
      <c r="N124" s="10">
        <v>18.399999999999999</v>
      </c>
      <c r="O124" s="10">
        <v>15.8</v>
      </c>
    </row>
    <row r="125" spans="1:15" x14ac:dyDescent="0.15">
      <c r="A125" s="25">
        <v>1.6</v>
      </c>
      <c r="B125" s="10">
        <v>484.2</v>
      </c>
      <c r="C125" s="10">
        <v>376.2</v>
      </c>
      <c r="D125" s="10">
        <v>304.7</v>
      </c>
      <c r="E125" s="10">
        <v>231.6</v>
      </c>
      <c r="F125" s="10">
        <v>156.6</v>
      </c>
      <c r="G125" s="10">
        <v>118</v>
      </c>
      <c r="H125" s="10">
        <v>90.1</v>
      </c>
      <c r="I125" s="10">
        <v>62</v>
      </c>
      <c r="J125" s="10">
        <v>49.6</v>
      </c>
      <c r="K125" s="10">
        <v>40.9</v>
      </c>
      <c r="L125" s="10">
        <v>32.299999999999997</v>
      </c>
      <c r="M125" s="10">
        <v>27.2</v>
      </c>
      <c r="N125" s="10">
        <v>18.600000000000001</v>
      </c>
      <c r="O125" s="10">
        <v>15.9</v>
      </c>
    </row>
    <row r="126" spans="1:15" s="29" customFormat="1" x14ac:dyDescent="0.15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</row>
    <row r="127" spans="1:15" x14ac:dyDescent="0.15">
      <c r="A127" s="24" t="s">
        <v>157</v>
      </c>
      <c r="B127" s="24" t="s">
        <v>144</v>
      </c>
      <c r="C127" s="24" t="s">
        <v>120</v>
      </c>
      <c r="D127" s="24" t="s">
        <v>121</v>
      </c>
      <c r="E127" s="24" t="s">
        <v>122</v>
      </c>
      <c r="F127" s="24" t="s">
        <v>123</v>
      </c>
      <c r="G127" s="24" t="s">
        <v>124</v>
      </c>
      <c r="H127" s="24" t="s">
        <v>145</v>
      </c>
      <c r="I127" s="24" t="s">
        <v>146</v>
      </c>
      <c r="J127" s="24" t="s">
        <v>147</v>
      </c>
      <c r="K127" s="24" t="s">
        <v>148</v>
      </c>
      <c r="L127" s="24" t="s">
        <v>149</v>
      </c>
      <c r="M127" s="24" t="s">
        <v>150</v>
      </c>
      <c r="N127" s="24" t="s">
        <v>151</v>
      </c>
      <c r="O127" s="24" t="s">
        <v>152</v>
      </c>
    </row>
    <row r="128" spans="1:15" x14ac:dyDescent="0.15">
      <c r="A128" s="7">
        <v>1.85</v>
      </c>
      <c r="B128" s="10">
        <v>306.2</v>
      </c>
      <c r="C128" s="10">
        <v>260.2</v>
      </c>
      <c r="D128" s="10">
        <v>225.5</v>
      </c>
      <c r="E128" s="10">
        <v>189.3</v>
      </c>
      <c r="F128" s="10">
        <v>138</v>
      </c>
      <c r="G128" s="10">
        <v>118.6</v>
      </c>
      <c r="H128" s="10">
        <v>99.1</v>
      </c>
      <c r="I128" s="10">
        <v>64.599999999999994</v>
      </c>
      <c r="J128" s="10">
        <v>54.3</v>
      </c>
      <c r="K128" s="10">
        <v>41.4</v>
      </c>
      <c r="L128" s="10">
        <v>32.9</v>
      </c>
      <c r="M128" s="10">
        <v>28.1</v>
      </c>
      <c r="N128" s="10">
        <v>19.100000000000001</v>
      </c>
      <c r="O128" s="10">
        <v>15.4</v>
      </c>
    </row>
    <row r="129" spans="1:15" x14ac:dyDescent="0.15">
      <c r="A129" s="7">
        <v>1.8</v>
      </c>
      <c r="B129" s="10">
        <v>348.5</v>
      </c>
      <c r="C129" s="10">
        <v>295</v>
      </c>
      <c r="D129" s="10">
        <v>260.60000000000002</v>
      </c>
      <c r="E129" s="10">
        <v>210.7</v>
      </c>
      <c r="F129" s="10">
        <v>150.4</v>
      </c>
      <c r="G129" s="10">
        <v>121.5</v>
      </c>
      <c r="H129" s="10">
        <v>101.7</v>
      </c>
      <c r="I129" s="10">
        <v>66.400000000000006</v>
      </c>
      <c r="J129" s="10">
        <v>55.8</v>
      </c>
      <c r="K129" s="10">
        <v>42.5</v>
      </c>
      <c r="L129" s="10">
        <v>33.700000000000003</v>
      </c>
      <c r="M129" s="10">
        <v>28.7</v>
      </c>
      <c r="N129" s="10">
        <v>19.5</v>
      </c>
      <c r="O129" s="10">
        <v>15.6</v>
      </c>
    </row>
    <row r="130" spans="1:15" x14ac:dyDescent="0.15">
      <c r="A130" s="7">
        <v>1.75</v>
      </c>
      <c r="B130" s="10">
        <v>397.8</v>
      </c>
      <c r="C130" s="10">
        <v>328</v>
      </c>
      <c r="D130" s="10">
        <v>290</v>
      </c>
      <c r="E130" s="10">
        <v>222.7</v>
      </c>
      <c r="F130" s="10">
        <v>152.80000000000001</v>
      </c>
      <c r="G130" s="10">
        <v>125.1</v>
      </c>
      <c r="H130" s="10">
        <v>104.6</v>
      </c>
      <c r="I130" s="10">
        <v>68.099999999999994</v>
      </c>
      <c r="J130" s="10">
        <v>57.2</v>
      </c>
      <c r="K130" s="10">
        <v>43.4</v>
      </c>
      <c r="L130" s="10">
        <v>34.4</v>
      </c>
      <c r="M130" s="10">
        <v>29.3</v>
      </c>
      <c r="N130" s="10">
        <v>19.8</v>
      </c>
      <c r="O130" s="10">
        <v>15.9</v>
      </c>
    </row>
    <row r="131" spans="1:15" x14ac:dyDescent="0.15">
      <c r="A131" s="7">
        <v>1.7</v>
      </c>
      <c r="B131" s="10">
        <v>437.8</v>
      </c>
      <c r="C131" s="10">
        <v>361.8</v>
      </c>
      <c r="D131" s="10">
        <v>315</v>
      </c>
      <c r="E131" s="10">
        <v>234.5</v>
      </c>
      <c r="F131" s="10">
        <v>154.4</v>
      </c>
      <c r="G131" s="10">
        <v>127.2</v>
      </c>
      <c r="H131" s="10">
        <v>106.2</v>
      </c>
      <c r="I131" s="10">
        <v>69</v>
      </c>
      <c r="J131" s="10">
        <v>57.8</v>
      </c>
      <c r="K131" s="10">
        <v>43.9</v>
      </c>
      <c r="L131" s="10">
        <v>34.799999999999997</v>
      </c>
      <c r="M131" s="10">
        <v>29.6</v>
      </c>
      <c r="N131" s="10">
        <v>20</v>
      </c>
      <c r="O131" s="10">
        <v>16</v>
      </c>
    </row>
    <row r="132" spans="1:15" x14ac:dyDescent="0.15">
      <c r="A132" s="25">
        <v>1.67</v>
      </c>
      <c r="B132" s="10">
        <v>467.5</v>
      </c>
      <c r="C132" s="10">
        <v>396</v>
      </c>
      <c r="D132" s="10">
        <v>330</v>
      </c>
      <c r="E132" s="10">
        <v>247.9</v>
      </c>
      <c r="F132" s="10">
        <v>156</v>
      </c>
      <c r="G132" s="10">
        <v>129</v>
      </c>
      <c r="H132" s="10">
        <v>107.4</v>
      </c>
      <c r="I132" s="10">
        <v>69.7</v>
      </c>
      <c r="J132" s="10">
        <v>58.3</v>
      </c>
      <c r="K132" s="10">
        <v>44.4</v>
      </c>
      <c r="L132" s="10">
        <v>35.1</v>
      </c>
      <c r="M132" s="10">
        <v>29.8</v>
      </c>
      <c r="N132" s="10">
        <v>20.100000000000001</v>
      </c>
      <c r="O132" s="10">
        <v>16.100000000000001</v>
      </c>
    </row>
    <row r="133" spans="1:15" x14ac:dyDescent="0.15">
      <c r="A133" s="25">
        <v>1.6</v>
      </c>
      <c r="B133" s="10">
        <v>493</v>
      </c>
      <c r="C133" s="10">
        <v>403.2</v>
      </c>
      <c r="D133" s="10">
        <v>336</v>
      </c>
      <c r="E133" s="10">
        <v>262</v>
      </c>
      <c r="F133" s="10">
        <v>157.6</v>
      </c>
      <c r="G133" s="10">
        <v>130.69999999999999</v>
      </c>
      <c r="H133" s="10">
        <v>108.6</v>
      </c>
      <c r="I133" s="10">
        <v>70.7</v>
      </c>
      <c r="J133" s="10">
        <v>59</v>
      </c>
      <c r="K133" s="10">
        <v>44.9</v>
      </c>
      <c r="L133" s="10">
        <v>35.5</v>
      </c>
      <c r="M133" s="10">
        <v>30.2</v>
      </c>
      <c r="N133" s="10">
        <v>20.3</v>
      </c>
      <c r="O133" s="10">
        <v>16.3</v>
      </c>
    </row>
    <row r="134" spans="1:15" s="29" customFormat="1" x14ac:dyDescent="0.15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</row>
    <row r="135" spans="1:15" x14ac:dyDescent="0.15">
      <c r="A135" s="24" t="s">
        <v>158</v>
      </c>
      <c r="B135" s="24" t="s">
        <v>144</v>
      </c>
      <c r="C135" s="24" t="s">
        <v>120</v>
      </c>
      <c r="D135" s="24" t="s">
        <v>121</v>
      </c>
      <c r="E135" s="24" t="s">
        <v>122</v>
      </c>
      <c r="F135" s="24" t="s">
        <v>123</v>
      </c>
      <c r="G135" s="24" t="s">
        <v>124</v>
      </c>
      <c r="H135" s="24" t="s">
        <v>145</v>
      </c>
      <c r="I135" s="24" t="s">
        <v>146</v>
      </c>
      <c r="J135" s="24" t="s">
        <v>147</v>
      </c>
      <c r="K135" s="24" t="s">
        <v>148</v>
      </c>
      <c r="L135" s="24" t="s">
        <v>149</v>
      </c>
      <c r="M135" s="24" t="s">
        <v>150</v>
      </c>
      <c r="N135" s="24" t="s">
        <v>151</v>
      </c>
      <c r="O135" s="24" t="s">
        <v>152</v>
      </c>
    </row>
    <row r="136" spans="1:15" x14ac:dyDescent="0.15">
      <c r="A136" s="7">
        <v>1.85</v>
      </c>
      <c r="B136" s="10">
        <v>456</v>
      </c>
      <c r="C136" s="10">
        <v>378.5</v>
      </c>
      <c r="D136" s="10">
        <v>301.10000000000002</v>
      </c>
      <c r="E136" s="10">
        <v>227.4</v>
      </c>
      <c r="F136" s="10">
        <v>172.5</v>
      </c>
      <c r="G136" s="10">
        <v>130.1</v>
      </c>
      <c r="H136" s="10">
        <v>105.6</v>
      </c>
      <c r="I136" s="10">
        <v>76</v>
      </c>
      <c r="J136" s="10">
        <v>63.3</v>
      </c>
      <c r="K136" s="10">
        <v>48</v>
      </c>
      <c r="L136" s="10">
        <v>39.299999999999997</v>
      </c>
      <c r="M136" s="10">
        <v>33.700000000000003</v>
      </c>
      <c r="N136" s="10">
        <v>23.9</v>
      </c>
      <c r="O136" s="10">
        <v>20</v>
      </c>
    </row>
    <row r="137" spans="1:15" x14ac:dyDescent="0.15">
      <c r="A137" s="7">
        <v>1.8</v>
      </c>
      <c r="B137" s="10">
        <v>515.4</v>
      </c>
      <c r="C137" s="10">
        <v>421.8</v>
      </c>
      <c r="D137" s="10">
        <v>335.6</v>
      </c>
      <c r="E137" s="10">
        <v>243.9</v>
      </c>
      <c r="F137" s="10">
        <v>184.9</v>
      </c>
      <c r="G137" s="10">
        <v>137.6</v>
      </c>
      <c r="H137" s="10">
        <v>111.3</v>
      </c>
      <c r="I137" s="10">
        <v>79.900000000000006</v>
      </c>
      <c r="J137" s="10">
        <v>66.5</v>
      </c>
      <c r="K137" s="10">
        <v>49.9</v>
      </c>
      <c r="L137" s="10">
        <v>41</v>
      </c>
      <c r="M137" s="10">
        <v>34.9</v>
      </c>
      <c r="N137" s="10">
        <v>24.5</v>
      </c>
      <c r="O137" s="10">
        <v>20.5</v>
      </c>
    </row>
    <row r="138" spans="1:15" x14ac:dyDescent="0.15">
      <c r="A138" s="7">
        <v>1.75</v>
      </c>
      <c r="B138" s="10">
        <v>555.5</v>
      </c>
      <c r="C138" s="10">
        <v>440.2</v>
      </c>
      <c r="D138" s="10">
        <v>350.2</v>
      </c>
      <c r="E138" s="10">
        <v>264.89999999999998</v>
      </c>
      <c r="F138" s="10">
        <v>198.6</v>
      </c>
      <c r="G138" s="10">
        <v>145.5</v>
      </c>
      <c r="H138" s="10">
        <v>117.6</v>
      </c>
      <c r="I138" s="10">
        <v>84.4</v>
      </c>
      <c r="J138" s="10">
        <v>69.3</v>
      </c>
      <c r="K138" s="10">
        <v>51.6</v>
      </c>
      <c r="L138" s="10">
        <v>42.5</v>
      </c>
      <c r="M138" s="10">
        <v>36</v>
      </c>
      <c r="N138" s="10">
        <v>24.9</v>
      </c>
      <c r="O138" s="10">
        <v>20.6</v>
      </c>
    </row>
    <row r="139" spans="1:15" x14ac:dyDescent="0.15">
      <c r="A139" s="7">
        <v>1.7</v>
      </c>
      <c r="B139" s="10">
        <v>590.29999999999995</v>
      </c>
      <c r="C139" s="10">
        <v>445.7</v>
      </c>
      <c r="D139" s="10">
        <v>354.5</v>
      </c>
      <c r="E139" s="10">
        <v>280.39999999999998</v>
      </c>
      <c r="F139" s="10">
        <v>206.6</v>
      </c>
      <c r="G139" s="10">
        <v>153.30000000000001</v>
      </c>
      <c r="H139" s="10">
        <v>122.3</v>
      </c>
      <c r="I139" s="10">
        <v>87.7</v>
      </c>
      <c r="J139" s="10">
        <v>71.5</v>
      </c>
      <c r="K139" s="10">
        <v>53.1</v>
      </c>
      <c r="L139" s="10">
        <v>43.3</v>
      </c>
      <c r="M139" s="10">
        <v>36.4</v>
      </c>
      <c r="N139" s="10">
        <v>25.2</v>
      </c>
      <c r="O139" s="10">
        <v>20.8</v>
      </c>
    </row>
    <row r="140" spans="1:15" x14ac:dyDescent="0.15">
      <c r="A140" s="25">
        <v>1.67</v>
      </c>
      <c r="B140" s="10">
        <v>612</v>
      </c>
      <c r="C140" s="10">
        <v>452.5</v>
      </c>
      <c r="D140" s="10">
        <v>360</v>
      </c>
      <c r="E140" s="10">
        <v>292.3</v>
      </c>
      <c r="F140" s="10">
        <v>214</v>
      </c>
      <c r="G140" s="10">
        <v>157.1</v>
      </c>
      <c r="H140" s="10">
        <v>125.7</v>
      </c>
      <c r="I140" s="10">
        <v>90.1</v>
      </c>
      <c r="J140" s="10">
        <v>73.400000000000006</v>
      </c>
      <c r="K140" s="10">
        <v>54.5</v>
      </c>
      <c r="L140" s="10">
        <v>44.2</v>
      </c>
      <c r="M140" s="10">
        <v>37</v>
      </c>
      <c r="N140" s="10">
        <v>25.5</v>
      </c>
      <c r="O140" s="10">
        <v>20.9</v>
      </c>
    </row>
    <row r="141" spans="1:15" x14ac:dyDescent="0.15">
      <c r="A141" s="25">
        <v>1.6</v>
      </c>
      <c r="B141" s="10">
        <v>620.79999999999995</v>
      </c>
      <c r="C141" s="10">
        <v>459.4</v>
      </c>
      <c r="D141" s="10">
        <v>365.5</v>
      </c>
      <c r="E141" s="10">
        <v>299</v>
      </c>
      <c r="F141" s="10">
        <v>219</v>
      </c>
      <c r="G141" s="10">
        <v>159.69999999999999</v>
      </c>
      <c r="H141" s="10">
        <v>128.19999999999999</v>
      </c>
      <c r="I141" s="10">
        <v>91.7</v>
      </c>
      <c r="J141" s="10">
        <v>73.900000000000006</v>
      </c>
      <c r="K141" s="10">
        <v>55</v>
      </c>
      <c r="L141" s="10">
        <v>44.6</v>
      </c>
      <c r="M141" s="10">
        <v>37.4</v>
      </c>
      <c r="N141" s="10">
        <v>25.6</v>
      </c>
      <c r="O141" s="10">
        <v>21.2</v>
      </c>
    </row>
    <row r="142" spans="1:15" s="29" customFormat="1" x14ac:dyDescent="0.15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</row>
    <row r="143" spans="1:15" x14ac:dyDescent="0.15">
      <c r="A143" s="24" t="s">
        <v>159</v>
      </c>
      <c r="B143" s="24" t="s">
        <v>144</v>
      </c>
      <c r="C143" s="24" t="s">
        <v>120</v>
      </c>
      <c r="D143" s="24" t="s">
        <v>121</v>
      </c>
      <c r="E143" s="24" t="s">
        <v>122</v>
      </c>
      <c r="F143" s="24" t="s">
        <v>123</v>
      </c>
      <c r="G143" s="24" t="s">
        <v>124</v>
      </c>
      <c r="H143" s="24" t="s">
        <v>145</v>
      </c>
      <c r="I143" s="24" t="s">
        <v>146</v>
      </c>
      <c r="J143" s="24" t="s">
        <v>147</v>
      </c>
      <c r="K143" s="24" t="s">
        <v>148</v>
      </c>
      <c r="L143" s="24" t="s">
        <v>149</v>
      </c>
      <c r="M143" s="24" t="s">
        <v>150</v>
      </c>
      <c r="N143" s="24" t="s">
        <v>151</v>
      </c>
      <c r="O143" s="24" t="s">
        <v>152</v>
      </c>
    </row>
    <row r="144" spans="1:15" x14ac:dyDescent="0.15">
      <c r="A144" s="7">
        <v>1.85</v>
      </c>
      <c r="B144" s="10">
        <v>506.7</v>
      </c>
      <c r="C144" s="10">
        <v>420.6</v>
      </c>
      <c r="D144" s="10">
        <v>334.5</v>
      </c>
      <c r="E144" s="10">
        <v>273.8</v>
      </c>
      <c r="F144" s="10">
        <v>198.9</v>
      </c>
      <c r="G144" s="10">
        <v>143.80000000000001</v>
      </c>
      <c r="H144" s="10">
        <v>113.4</v>
      </c>
      <c r="I144" s="10">
        <v>81.099999999999994</v>
      </c>
      <c r="J144" s="10">
        <v>64.900000000000006</v>
      </c>
      <c r="K144" s="10">
        <v>48</v>
      </c>
      <c r="L144" s="10">
        <v>39.5</v>
      </c>
      <c r="M144" s="10">
        <v>33.700000000000003</v>
      </c>
      <c r="N144" s="10">
        <v>24</v>
      </c>
      <c r="O144" s="10">
        <v>20</v>
      </c>
    </row>
    <row r="145" spans="1:15" x14ac:dyDescent="0.15">
      <c r="A145" s="7">
        <v>1.8</v>
      </c>
      <c r="B145" s="10">
        <v>572.6</v>
      </c>
      <c r="C145" s="10">
        <v>468.7</v>
      </c>
      <c r="D145" s="10">
        <v>372.8</v>
      </c>
      <c r="E145" s="10">
        <v>305.10000000000002</v>
      </c>
      <c r="F145" s="10">
        <v>209.9</v>
      </c>
      <c r="G145" s="10">
        <v>151.80000000000001</v>
      </c>
      <c r="H145" s="10">
        <v>120.1</v>
      </c>
      <c r="I145" s="10">
        <v>85.5</v>
      </c>
      <c r="J145" s="10">
        <v>68.099999999999994</v>
      </c>
      <c r="K145" s="10">
        <v>50.1</v>
      </c>
      <c r="L145" s="10">
        <v>41</v>
      </c>
      <c r="M145" s="10">
        <v>35</v>
      </c>
      <c r="N145" s="10">
        <v>24.5</v>
      </c>
      <c r="O145" s="10">
        <v>20.5</v>
      </c>
    </row>
    <row r="146" spans="1:15" x14ac:dyDescent="0.15">
      <c r="A146" s="7">
        <v>1.75</v>
      </c>
      <c r="B146" s="10">
        <v>617.20000000000005</v>
      </c>
      <c r="C146" s="10">
        <v>489.1</v>
      </c>
      <c r="D146" s="10">
        <v>389.1</v>
      </c>
      <c r="E146" s="10">
        <v>318.39999999999998</v>
      </c>
      <c r="F146" s="10">
        <v>219.2</v>
      </c>
      <c r="G146" s="10">
        <v>157.69999999999999</v>
      </c>
      <c r="H146" s="10">
        <v>124.8</v>
      </c>
      <c r="I146" s="10">
        <v>88.4</v>
      </c>
      <c r="J146" s="10">
        <v>70.3</v>
      </c>
      <c r="K146" s="10">
        <v>51.8</v>
      </c>
      <c r="L146" s="10">
        <v>42.4</v>
      </c>
      <c r="M146" s="10">
        <v>36</v>
      </c>
      <c r="N146" s="10">
        <v>24.9</v>
      </c>
      <c r="O146" s="10">
        <v>20.6</v>
      </c>
    </row>
    <row r="147" spans="1:15" x14ac:dyDescent="0.15">
      <c r="A147" s="7">
        <v>1.7</v>
      </c>
      <c r="B147" s="10">
        <v>655.9</v>
      </c>
      <c r="C147" s="10">
        <v>495.2</v>
      </c>
      <c r="D147" s="10">
        <v>393.9</v>
      </c>
      <c r="E147" s="10">
        <v>322.39999999999998</v>
      </c>
      <c r="F147" s="10">
        <v>227.1</v>
      </c>
      <c r="G147" s="10">
        <v>161.9</v>
      </c>
      <c r="H147" s="10">
        <v>127.6</v>
      </c>
      <c r="I147" s="10">
        <v>90.6</v>
      </c>
      <c r="J147" s="10">
        <v>72.099999999999994</v>
      </c>
      <c r="K147" s="10">
        <v>53.1</v>
      </c>
      <c r="L147" s="10">
        <v>43.3</v>
      </c>
      <c r="M147" s="10">
        <v>36.6</v>
      </c>
      <c r="N147" s="10">
        <v>25.1</v>
      </c>
      <c r="O147" s="10">
        <v>20.8</v>
      </c>
    </row>
    <row r="148" spans="1:15" x14ac:dyDescent="0.15">
      <c r="A148" s="25">
        <v>1.67</v>
      </c>
      <c r="B148" s="10">
        <v>680</v>
      </c>
      <c r="C148" s="10">
        <v>502.8</v>
      </c>
      <c r="D148" s="10">
        <v>400</v>
      </c>
      <c r="E148" s="10">
        <v>327.3</v>
      </c>
      <c r="F148" s="10">
        <v>232.6</v>
      </c>
      <c r="G148" s="10">
        <v>165</v>
      </c>
      <c r="H148" s="10">
        <v>129.80000000000001</v>
      </c>
      <c r="I148" s="10">
        <v>92.8</v>
      </c>
      <c r="J148" s="10">
        <v>73.400000000000006</v>
      </c>
      <c r="K148" s="10">
        <v>54.5</v>
      </c>
      <c r="L148" s="10">
        <v>44.1</v>
      </c>
      <c r="M148" s="10">
        <v>37</v>
      </c>
      <c r="N148" s="10">
        <v>25.4</v>
      </c>
      <c r="O148" s="10">
        <v>20.9</v>
      </c>
    </row>
    <row r="149" spans="1:15" x14ac:dyDescent="0.15">
      <c r="A149" s="25">
        <v>1.6</v>
      </c>
      <c r="B149" s="10">
        <v>689.7</v>
      </c>
      <c r="C149" s="10">
        <v>510.5</v>
      </c>
      <c r="D149" s="10">
        <v>408.3</v>
      </c>
      <c r="E149" s="10">
        <v>332.3</v>
      </c>
      <c r="F149" s="10">
        <v>236</v>
      </c>
      <c r="G149" s="10">
        <v>168.5</v>
      </c>
      <c r="H149" s="10">
        <v>131.5</v>
      </c>
      <c r="I149" s="10">
        <v>94.6</v>
      </c>
      <c r="J149" s="10">
        <v>74.7</v>
      </c>
      <c r="K149" s="10">
        <v>55</v>
      </c>
      <c r="L149" s="10">
        <v>44.6</v>
      </c>
      <c r="M149" s="10">
        <v>37.6</v>
      </c>
      <c r="N149" s="10">
        <v>25.6</v>
      </c>
      <c r="O149" s="10">
        <v>21.2</v>
      </c>
    </row>
    <row r="150" spans="1:15" s="29" customFormat="1" x14ac:dyDescent="0.15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</row>
    <row r="151" spans="1:15" x14ac:dyDescent="0.15">
      <c r="A151" s="24" t="s">
        <v>160</v>
      </c>
      <c r="B151" s="24" t="s">
        <v>144</v>
      </c>
      <c r="C151" s="24" t="s">
        <v>120</v>
      </c>
      <c r="D151" s="24" t="s">
        <v>121</v>
      </c>
      <c r="E151" s="24" t="s">
        <v>122</v>
      </c>
      <c r="F151" s="24" t="s">
        <v>123</v>
      </c>
      <c r="G151" s="24" t="s">
        <v>124</v>
      </c>
      <c r="H151" s="24" t="s">
        <v>145</v>
      </c>
      <c r="I151" s="24" t="s">
        <v>146</v>
      </c>
      <c r="J151" s="24" t="s">
        <v>147</v>
      </c>
      <c r="K151" s="24" t="s">
        <v>148</v>
      </c>
      <c r="L151" s="24" t="s">
        <v>149</v>
      </c>
      <c r="M151" s="24" t="s">
        <v>150</v>
      </c>
      <c r="N151" s="24" t="s">
        <v>151</v>
      </c>
      <c r="O151" s="24" t="s">
        <v>152</v>
      </c>
    </row>
    <row r="152" spans="1:15" x14ac:dyDescent="0.15">
      <c r="A152" s="7">
        <v>1.85</v>
      </c>
      <c r="B152" s="10">
        <v>469.2</v>
      </c>
      <c r="C152" s="10">
        <v>377.4</v>
      </c>
      <c r="D152" s="10">
        <v>329.3</v>
      </c>
      <c r="E152" s="10">
        <v>260.10000000000002</v>
      </c>
      <c r="F152" s="10">
        <v>184.4</v>
      </c>
      <c r="G152" s="10">
        <v>143.6</v>
      </c>
      <c r="H152" s="10">
        <v>117.1</v>
      </c>
      <c r="I152" s="10">
        <v>86.2</v>
      </c>
      <c r="J152" s="10">
        <v>70.7</v>
      </c>
      <c r="K152" s="10">
        <v>52.9</v>
      </c>
      <c r="L152" s="10">
        <v>42</v>
      </c>
      <c r="M152" s="10">
        <v>35.700000000000003</v>
      </c>
      <c r="N152" s="10">
        <v>24.8</v>
      </c>
      <c r="O152" s="10">
        <v>21.3</v>
      </c>
    </row>
    <row r="153" spans="1:15" x14ac:dyDescent="0.15">
      <c r="A153" s="7">
        <v>1.8</v>
      </c>
      <c r="B153" s="10">
        <v>524.9</v>
      </c>
      <c r="C153" s="10">
        <v>422.1</v>
      </c>
      <c r="D153" s="10">
        <v>368.3</v>
      </c>
      <c r="E153" s="10">
        <v>291</v>
      </c>
      <c r="F153" s="10">
        <v>206.3</v>
      </c>
      <c r="G153" s="10">
        <v>151.5</v>
      </c>
      <c r="H153" s="10">
        <v>120.4</v>
      </c>
      <c r="I153" s="10">
        <v>88.3</v>
      </c>
      <c r="J153" s="10">
        <v>74.5</v>
      </c>
      <c r="K153" s="10">
        <v>54.4</v>
      </c>
      <c r="L153" s="10">
        <v>43.4</v>
      </c>
      <c r="M153" s="10">
        <v>36.9</v>
      </c>
      <c r="N153" s="10">
        <v>25.3</v>
      </c>
      <c r="O153" s="10">
        <v>21.8</v>
      </c>
    </row>
    <row r="154" spans="1:15" x14ac:dyDescent="0.15">
      <c r="A154" s="7">
        <v>1.75</v>
      </c>
      <c r="B154" s="10">
        <v>560.20000000000005</v>
      </c>
      <c r="C154" s="10">
        <v>450.5</v>
      </c>
      <c r="D154" s="10">
        <v>393.1</v>
      </c>
      <c r="E154" s="10">
        <v>310.60000000000002</v>
      </c>
      <c r="F154" s="10">
        <v>220.1</v>
      </c>
      <c r="G154" s="10">
        <v>159.69999999999999</v>
      </c>
      <c r="H154" s="10">
        <v>124.8</v>
      </c>
      <c r="I154" s="10">
        <v>91.5</v>
      </c>
      <c r="J154" s="10">
        <v>77.099999999999994</v>
      </c>
      <c r="K154" s="10">
        <v>55.4</v>
      </c>
      <c r="L154" s="10">
        <v>44.7</v>
      </c>
      <c r="M154" s="10">
        <v>37.9</v>
      </c>
      <c r="N154" s="10">
        <v>25.5</v>
      </c>
      <c r="O154" s="10">
        <v>21.9</v>
      </c>
    </row>
    <row r="155" spans="1:15" x14ac:dyDescent="0.15">
      <c r="A155" s="7">
        <v>1.7</v>
      </c>
      <c r="B155" s="10">
        <v>588.9</v>
      </c>
      <c r="C155" s="10">
        <v>473.6</v>
      </c>
      <c r="D155" s="10">
        <v>413.3</v>
      </c>
      <c r="E155" s="10">
        <v>326.5</v>
      </c>
      <c r="F155" s="10">
        <v>231.4</v>
      </c>
      <c r="G155" s="10">
        <v>166.4</v>
      </c>
      <c r="H155" s="10">
        <v>129.5</v>
      </c>
      <c r="I155" s="10">
        <v>94.9</v>
      </c>
      <c r="J155" s="10">
        <v>78.599999999999994</v>
      </c>
      <c r="K155" s="10">
        <v>56.4</v>
      </c>
      <c r="L155" s="10">
        <v>45.6</v>
      </c>
      <c r="M155" s="10">
        <v>38.6</v>
      </c>
      <c r="N155" s="10">
        <v>25.8</v>
      </c>
      <c r="O155" s="10">
        <v>22</v>
      </c>
    </row>
    <row r="156" spans="1:15" x14ac:dyDescent="0.15">
      <c r="A156" s="25">
        <v>1.67</v>
      </c>
      <c r="B156" s="10">
        <v>598.5</v>
      </c>
      <c r="C156" s="10">
        <v>481.3</v>
      </c>
      <c r="D156" s="10">
        <v>420</v>
      </c>
      <c r="E156" s="10">
        <v>331.8</v>
      </c>
      <c r="F156" s="10">
        <v>235.2</v>
      </c>
      <c r="G156" s="10">
        <v>170</v>
      </c>
      <c r="H156" s="10">
        <v>130.19999999999999</v>
      </c>
      <c r="I156" s="10">
        <v>96.9</v>
      </c>
      <c r="J156" s="10">
        <v>80.099999999999994</v>
      </c>
      <c r="K156" s="10">
        <v>57.4</v>
      </c>
      <c r="L156" s="10">
        <v>46</v>
      </c>
      <c r="M156" s="10">
        <v>39</v>
      </c>
      <c r="N156" s="10">
        <v>26.1</v>
      </c>
      <c r="O156" s="10">
        <v>22.4</v>
      </c>
    </row>
    <row r="157" spans="1:15" x14ac:dyDescent="0.15">
      <c r="A157" s="25">
        <v>1.6</v>
      </c>
      <c r="B157" s="10">
        <v>606.9</v>
      </c>
      <c r="C157" s="10">
        <v>488.1</v>
      </c>
      <c r="D157" s="10">
        <v>425.9</v>
      </c>
      <c r="E157" s="10">
        <v>336.4</v>
      </c>
      <c r="F157" s="10">
        <v>238.5</v>
      </c>
      <c r="G157" s="10">
        <v>172.6</v>
      </c>
      <c r="H157" s="10">
        <v>131.69999999999999</v>
      </c>
      <c r="I157" s="10">
        <v>99.5</v>
      </c>
      <c r="J157" s="10">
        <v>81.2</v>
      </c>
      <c r="K157" s="10">
        <v>58.6</v>
      </c>
      <c r="L157" s="10">
        <v>46.9</v>
      </c>
      <c r="M157" s="10">
        <v>39.6</v>
      </c>
      <c r="N157" s="10">
        <v>26.1</v>
      </c>
      <c r="O157" s="10">
        <v>22.4</v>
      </c>
    </row>
    <row r="158" spans="1:15" s="29" customFormat="1" x14ac:dyDescent="0.15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</row>
    <row r="159" spans="1:15" x14ac:dyDescent="0.15">
      <c r="A159" s="24" t="s">
        <v>161</v>
      </c>
      <c r="B159" s="24" t="s">
        <v>144</v>
      </c>
      <c r="C159" s="24" t="s">
        <v>120</v>
      </c>
      <c r="D159" s="24" t="s">
        <v>121</v>
      </c>
      <c r="E159" s="24" t="s">
        <v>122</v>
      </c>
      <c r="F159" s="24" t="s">
        <v>123</v>
      </c>
      <c r="G159" s="24" t="s">
        <v>124</v>
      </c>
      <c r="H159" s="24" t="s">
        <v>145</v>
      </c>
      <c r="I159" s="24" t="s">
        <v>147</v>
      </c>
      <c r="J159" s="24" t="s">
        <v>148</v>
      </c>
      <c r="K159" s="24" t="s">
        <v>149</v>
      </c>
      <c r="L159" s="24" t="s">
        <v>150</v>
      </c>
      <c r="M159" s="24" t="s">
        <v>151</v>
      </c>
      <c r="N159" s="24" t="s">
        <v>152</v>
      </c>
    </row>
    <row r="160" spans="1:15" x14ac:dyDescent="0.15">
      <c r="A160" s="7">
        <v>1.85</v>
      </c>
      <c r="B160" s="10">
        <v>497.8</v>
      </c>
      <c r="C160" s="10">
        <v>424.6</v>
      </c>
      <c r="D160" s="10">
        <v>377.4</v>
      </c>
      <c r="E160" s="10">
        <v>329</v>
      </c>
      <c r="F160" s="10">
        <v>263.7</v>
      </c>
      <c r="G160" s="10">
        <v>203.4</v>
      </c>
      <c r="H160" s="10">
        <v>162.9</v>
      </c>
      <c r="I160" s="10">
        <v>96.6</v>
      </c>
      <c r="J160" s="10">
        <v>70.3</v>
      </c>
      <c r="K160" s="10">
        <v>56.2</v>
      </c>
      <c r="L160" s="10">
        <v>47.3</v>
      </c>
      <c r="M160" s="10">
        <v>32.700000000000003</v>
      </c>
      <c r="N160" s="10">
        <v>27.3</v>
      </c>
    </row>
    <row r="161" spans="1:15" x14ac:dyDescent="0.15">
      <c r="A161" s="7">
        <v>1.8</v>
      </c>
      <c r="B161" s="10">
        <v>583.6</v>
      </c>
      <c r="C161" s="10">
        <v>474.1</v>
      </c>
      <c r="D161" s="10">
        <v>415.6</v>
      </c>
      <c r="E161" s="10">
        <v>355.1</v>
      </c>
      <c r="F161" s="10">
        <v>280.89999999999998</v>
      </c>
      <c r="G161" s="10">
        <v>215</v>
      </c>
      <c r="H161" s="10">
        <v>171.7</v>
      </c>
      <c r="I161" s="10">
        <v>100.2</v>
      </c>
      <c r="J161" s="10">
        <v>72.900000000000006</v>
      </c>
      <c r="K161" s="10">
        <v>57.7</v>
      </c>
      <c r="L161" s="10">
        <v>48.3</v>
      </c>
      <c r="M161" s="10">
        <v>33.299999999999997</v>
      </c>
      <c r="N161" s="10">
        <v>27.7</v>
      </c>
    </row>
    <row r="162" spans="1:15" x14ac:dyDescent="0.15">
      <c r="A162" s="7">
        <v>1.75</v>
      </c>
      <c r="B162" s="10">
        <v>661.2</v>
      </c>
      <c r="C162" s="10">
        <v>532.20000000000005</v>
      </c>
      <c r="D162" s="10">
        <v>451.5</v>
      </c>
      <c r="E162" s="10">
        <v>377.7</v>
      </c>
      <c r="F162" s="10">
        <v>293.7</v>
      </c>
      <c r="G162" s="10">
        <v>224.2</v>
      </c>
      <c r="H162" s="10">
        <v>179.2</v>
      </c>
      <c r="I162" s="10">
        <v>103.3</v>
      </c>
      <c r="J162" s="10">
        <v>75</v>
      </c>
      <c r="K162" s="10">
        <v>59.3</v>
      </c>
      <c r="L162" s="10">
        <v>49.5</v>
      </c>
      <c r="M162" s="10">
        <v>33.9</v>
      </c>
      <c r="N162" s="10">
        <v>28</v>
      </c>
    </row>
    <row r="163" spans="1:15" x14ac:dyDescent="0.15">
      <c r="A163" s="7">
        <v>1.7</v>
      </c>
      <c r="B163" s="10">
        <v>722.4</v>
      </c>
      <c r="C163" s="10">
        <v>566.4</v>
      </c>
      <c r="D163" s="10">
        <v>476.7</v>
      </c>
      <c r="E163" s="10">
        <v>397.6</v>
      </c>
      <c r="F163" s="10">
        <v>306.2</v>
      </c>
      <c r="G163" s="10">
        <v>233</v>
      </c>
      <c r="H163" s="10">
        <v>185.4</v>
      </c>
      <c r="I163" s="10">
        <v>106.7</v>
      </c>
      <c r="J163" s="10">
        <v>76.5</v>
      </c>
      <c r="K163" s="10">
        <v>60.3</v>
      </c>
      <c r="L163" s="10">
        <v>50.4</v>
      </c>
      <c r="M163" s="10">
        <v>34.299999999999997</v>
      </c>
      <c r="N163" s="10">
        <v>28.3</v>
      </c>
    </row>
    <row r="164" spans="1:15" x14ac:dyDescent="0.15">
      <c r="A164" s="25">
        <v>1.67</v>
      </c>
      <c r="B164" s="10">
        <v>777.5</v>
      </c>
      <c r="C164" s="10">
        <v>602.9</v>
      </c>
      <c r="D164" s="10">
        <v>505.7</v>
      </c>
      <c r="E164" s="10">
        <v>416.4</v>
      </c>
      <c r="F164" s="10">
        <v>320.5</v>
      </c>
      <c r="G164" s="10">
        <v>242.5</v>
      </c>
      <c r="H164" s="10">
        <v>191.8</v>
      </c>
      <c r="I164" s="10">
        <v>109.9</v>
      </c>
      <c r="J164" s="10">
        <v>78.2</v>
      </c>
      <c r="K164" s="10">
        <v>61.7</v>
      </c>
      <c r="L164" s="10">
        <v>51.1</v>
      </c>
      <c r="M164" s="10">
        <v>34.6</v>
      </c>
      <c r="N164" s="10">
        <v>28.6</v>
      </c>
    </row>
    <row r="165" spans="1:15" x14ac:dyDescent="0.15">
      <c r="A165" s="25">
        <v>1.6</v>
      </c>
      <c r="B165" s="10">
        <v>829.6</v>
      </c>
      <c r="C165" s="10">
        <v>641.4</v>
      </c>
      <c r="D165" s="10">
        <v>527.20000000000005</v>
      </c>
      <c r="E165" s="10">
        <v>429.8</v>
      </c>
      <c r="F165" s="10">
        <v>329.2</v>
      </c>
      <c r="G165" s="10">
        <v>247</v>
      </c>
      <c r="H165" s="10">
        <v>195.1</v>
      </c>
      <c r="I165" s="10">
        <v>110.8</v>
      </c>
      <c r="J165" s="10">
        <v>78.8</v>
      </c>
      <c r="K165" s="10">
        <v>61.9</v>
      </c>
      <c r="L165" s="10">
        <v>51.5</v>
      </c>
      <c r="M165" s="10">
        <v>34.6</v>
      </c>
      <c r="N165" s="10">
        <v>28.5</v>
      </c>
    </row>
    <row r="166" spans="1:15" s="29" customFormat="1" x14ac:dyDescent="0.15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</row>
    <row r="167" spans="1:15" x14ac:dyDescent="0.15">
      <c r="A167" s="24" t="s">
        <v>162</v>
      </c>
      <c r="B167" s="24" t="s">
        <v>144</v>
      </c>
      <c r="C167" s="24" t="s">
        <v>120</v>
      </c>
      <c r="D167" s="24" t="s">
        <v>121</v>
      </c>
      <c r="E167" s="24" t="s">
        <v>122</v>
      </c>
      <c r="F167" s="24" t="s">
        <v>123</v>
      </c>
      <c r="G167" s="24" t="s">
        <v>124</v>
      </c>
      <c r="H167" s="24" t="s">
        <v>145</v>
      </c>
      <c r="I167" s="24" t="s">
        <v>147</v>
      </c>
      <c r="J167" s="24" t="s">
        <v>148</v>
      </c>
      <c r="K167" s="24" t="s">
        <v>149</v>
      </c>
      <c r="L167" s="24" t="s">
        <v>150</v>
      </c>
      <c r="M167" s="24" t="s">
        <v>151</v>
      </c>
      <c r="N167" s="24" t="s">
        <v>152</v>
      </c>
    </row>
    <row r="168" spans="1:15" x14ac:dyDescent="0.15">
      <c r="A168" s="7">
        <v>1.85</v>
      </c>
      <c r="B168" s="10">
        <v>537.70000000000005</v>
      </c>
      <c r="C168" s="10">
        <v>441.9</v>
      </c>
      <c r="D168" s="10">
        <v>383.5</v>
      </c>
      <c r="E168" s="10">
        <v>339.5</v>
      </c>
      <c r="F168" s="10">
        <v>273</v>
      </c>
      <c r="G168" s="10">
        <v>209.1</v>
      </c>
      <c r="H168" s="10">
        <v>172.5</v>
      </c>
      <c r="I168" s="10">
        <v>102.8</v>
      </c>
      <c r="J168" s="10">
        <v>74.400000000000006</v>
      </c>
      <c r="K168" s="10">
        <v>59.5</v>
      </c>
      <c r="L168" s="10">
        <v>49.8</v>
      </c>
      <c r="M168" s="10">
        <v>34.9</v>
      </c>
      <c r="N168" s="10">
        <v>29.5</v>
      </c>
    </row>
    <row r="169" spans="1:15" x14ac:dyDescent="0.15">
      <c r="A169" s="7">
        <v>1.8</v>
      </c>
      <c r="B169" s="10">
        <v>615.4</v>
      </c>
      <c r="C169" s="10">
        <v>484.6</v>
      </c>
      <c r="D169" s="10">
        <v>418.6</v>
      </c>
      <c r="E169" s="10">
        <v>373.2</v>
      </c>
      <c r="F169" s="10">
        <v>295</v>
      </c>
      <c r="G169" s="10">
        <v>223.2</v>
      </c>
      <c r="H169" s="10">
        <v>181.3</v>
      </c>
      <c r="I169" s="10">
        <v>106.8</v>
      </c>
      <c r="J169" s="10">
        <v>77.099999999999994</v>
      </c>
      <c r="K169" s="10">
        <v>61.2</v>
      </c>
      <c r="L169" s="10">
        <v>51.1</v>
      </c>
      <c r="M169" s="10">
        <v>35.6</v>
      </c>
      <c r="N169" s="10">
        <v>30</v>
      </c>
    </row>
    <row r="170" spans="1:15" x14ac:dyDescent="0.15">
      <c r="A170" s="7">
        <v>1.75</v>
      </c>
      <c r="B170" s="10">
        <v>710.1</v>
      </c>
      <c r="C170" s="10">
        <v>534.9</v>
      </c>
      <c r="D170" s="10">
        <v>459.8</v>
      </c>
      <c r="E170" s="10">
        <v>400.9</v>
      </c>
      <c r="F170" s="10">
        <v>314.2</v>
      </c>
      <c r="G170" s="10">
        <v>235.1</v>
      </c>
      <c r="H170" s="10">
        <v>190.2</v>
      </c>
      <c r="I170" s="10">
        <v>110.7</v>
      </c>
      <c r="J170" s="10">
        <v>79.2</v>
      </c>
      <c r="K170" s="10">
        <v>62.5</v>
      </c>
      <c r="L170" s="10">
        <v>52</v>
      </c>
      <c r="M170" s="10">
        <v>36.1</v>
      </c>
      <c r="N170" s="10">
        <v>30.4</v>
      </c>
    </row>
    <row r="171" spans="1:15" x14ac:dyDescent="0.15">
      <c r="A171" s="7">
        <v>1.7</v>
      </c>
      <c r="B171" s="10">
        <v>785.4</v>
      </c>
      <c r="C171" s="10">
        <v>582.5</v>
      </c>
      <c r="D171" s="10">
        <v>500.2</v>
      </c>
      <c r="E171" s="10">
        <v>432.4</v>
      </c>
      <c r="F171" s="10">
        <v>334.1</v>
      </c>
      <c r="G171" s="10">
        <v>246.5</v>
      </c>
      <c r="H171" s="10">
        <v>197.9</v>
      </c>
      <c r="I171" s="10">
        <v>113.6</v>
      </c>
      <c r="J171" s="10">
        <v>80.8</v>
      </c>
      <c r="K171" s="10">
        <v>63.8</v>
      </c>
      <c r="L171" s="10">
        <v>53</v>
      </c>
      <c r="M171" s="10">
        <v>36.700000000000003</v>
      </c>
      <c r="N171" s="10">
        <v>30.9</v>
      </c>
    </row>
    <row r="172" spans="1:15" x14ac:dyDescent="0.15">
      <c r="A172" s="25">
        <v>1.67</v>
      </c>
      <c r="B172" s="10">
        <v>852</v>
      </c>
      <c r="C172" s="10">
        <v>635.1</v>
      </c>
      <c r="D172" s="10">
        <v>540.1</v>
      </c>
      <c r="E172" s="10">
        <v>456.6</v>
      </c>
      <c r="F172" s="10">
        <v>346.4</v>
      </c>
      <c r="G172" s="10">
        <v>255.5</v>
      </c>
      <c r="H172" s="10">
        <v>203.8</v>
      </c>
      <c r="I172" s="10">
        <v>116.8</v>
      </c>
      <c r="J172" s="10">
        <v>82.8</v>
      </c>
      <c r="K172" s="10">
        <v>65</v>
      </c>
      <c r="L172" s="10">
        <v>53.9</v>
      </c>
      <c r="M172" s="10">
        <v>37.200000000000003</v>
      </c>
      <c r="N172" s="10">
        <v>31.2</v>
      </c>
    </row>
    <row r="173" spans="1:15" x14ac:dyDescent="0.15">
      <c r="A173" s="25">
        <v>1.6</v>
      </c>
      <c r="B173" s="10">
        <v>898.8</v>
      </c>
      <c r="C173" s="10">
        <v>672.8</v>
      </c>
      <c r="D173" s="10">
        <v>559.70000000000005</v>
      </c>
      <c r="E173" s="10">
        <v>471.1</v>
      </c>
      <c r="F173" s="10">
        <v>356.4</v>
      </c>
      <c r="G173" s="10">
        <v>261.2</v>
      </c>
      <c r="H173" s="10">
        <v>207.5</v>
      </c>
      <c r="I173" s="10">
        <v>117.7</v>
      </c>
      <c r="J173" s="10">
        <v>82.9</v>
      </c>
      <c r="K173" s="10">
        <v>65.5</v>
      </c>
      <c r="L173" s="10">
        <v>54.3</v>
      </c>
      <c r="M173" s="10">
        <v>37.5</v>
      </c>
      <c r="N173" s="10">
        <v>31.3</v>
      </c>
    </row>
    <row r="174" spans="1:15" s="29" customFormat="1" x14ac:dyDescent="0.15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</row>
    <row r="175" spans="1:15" x14ac:dyDescent="0.15">
      <c r="A175" s="24" t="s">
        <v>163</v>
      </c>
      <c r="B175" s="24" t="s">
        <v>144</v>
      </c>
      <c r="C175" s="24" t="s">
        <v>120</v>
      </c>
      <c r="D175" s="24" t="s">
        <v>121</v>
      </c>
      <c r="E175" s="24" t="s">
        <v>122</v>
      </c>
      <c r="F175" s="24" t="s">
        <v>123</v>
      </c>
      <c r="G175" s="24" t="s">
        <v>124</v>
      </c>
      <c r="H175" s="24" t="s">
        <v>145</v>
      </c>
      <c r="I175" s="24" t="s">
        <v>146</v>
      </c>
      <c r="J175" s="24" t="s">
        <v>147</v>
      </c>
      <c r="K175" s="24" t="s">
        <v>148</v>
      </c>
      <c r="L175" s="24" t="s">
        <v>149</v>
      </c>
      <c r="M175" s="24" t="s">
        <v>150</v>
      </c>
      <c r="N175" s="24" t="s">
        <v>151</v>
      </c>
      <c r="O175" s="24" t="s">
        <v>152</v>
      </c>
    </row>
    <row r="176" spans="1:15" x14ac:dyDescent="0.15">
      <c r="A176" s="7">
        <v>1.85</v>
      </c>
      <c r="B176" s="10">
        <v>675.9</v>
      </c>
      <c r="C176" s="10">
        <v>543.6</v>
      </c>
      <c r="D176" s="10">
        <v>474.3</v>
      </c>
      <c r="E176" s="10">
        <v>374.7</v>
      </c>
      <c r="F176" s="10">
        <v>265.60000000000002</v>
      </c>
      <c r="G176" s="10">
        <v>200.2</v>
      </c>
      <c r="H176" s="10">
        <v>181</v>
      </c>
      <c r="I176" s="10">
        <v>133.19999999999999</v>
      </c>
      <c r="J176" s="10">
        <v>109.3</v>
      </c>
      <c r="K176" s="10">
        <v>81.8</v>
      </c>
      <c r="L176" s="10">
        <v>64.900000000000006</v>
      </c>
      <c r="M176" s="10">
        <v>55.1</v>
      </c>
      <c r="N176" s="10">
        <v>38.4</v>
      </c>
      <c r="O176" s="10">
        <v>32.9</v>
      </c>
    </row>
    <row r="177" spans="1:15" x14ac:dyDescent="0.15">
      <c r="A177" s="7">
        <v>1.8</v>
      </c>
      <c r="B177" s="10">
        <v>756.1</v>
      </c>
      <c r="C177" s="10">
        <v>608.1</v>
      </c>
      <c r="D177" s="10">
        <v>530.6</v>
      </c>
      <c r="E177" s="10">
        <v>419.2</v>
      </c>
      <c r="F177" s="10">
        <v>297.10000000000002</v>
      </c>
      <c r="G177" s="10">
        <v>212.5</v>
      </c>
      <c r="H177" s="10">
        <v>186</v>
      </c>
      <c r="I177" s="10">
        <v>136.5</v>
      </c>
      <c r="J177" s="10">
        <v>115.2</v>
      </c>
      <c r="K177" s="10">
        <v>84.1</v>
      </c>
      <c r="L177" s="10">
        <v>67.099999999999994</v>
      </c>
      <c r="M177" s="10">
        <v>57.1</v>
      </c>
      <c r="N177" s="10">
        <v>39.1</v>
      </c>
      <c r="O177" s="10">
        <v>33.799999999999997</v>
      </c>
    </row>
    <row r="178" spans="1:15" x14ac:dyDescent="0.15">
      <c r="A178" s="7">
        <v>1.75</v>
      </c>
      <c r="B178" s="10">
        <v>806.9</v>
      </c>
      <c r="C178" s="10">
        <v>649</v>
      </c>
      <c r="D178" s="10">
        <v>566.29999999999995</v>
      </c>
      <c r="E178" s="10">
        <v>447.4</v>
      </c>
      <c r="F178" s="10">
        <v>317.10000000000002</v>
      </c>
      <c r="G178" s="10">
        <v>221</v>
      </c>
      <c r="H178" s="10">
        <v>192.8</v>
      </c>
      <c r="I178" s="10">
        <v>141.5</v>
      </c>
      <c r="J178" s="10">
        <v>119.1</v>
      </c>
      <c r="K178" s="10">
        <v>85.7</v>
      </c>
      <c r="L178" s="10">
        <v>69.099999999999994</v>
      </c>
      <c r="M178" s="10">
        <v>58.5</v>
      </c>
      <c r="N178" s="10">
        <v>39.299999999999997</v>
      </c>
      <c r="O178" s="10">
        <v>33.9</v>
      </c>
    </row>
    <row r="179" spans="1:15" x14ac:dyDescent="0.15">
      <c r="A179" s="7">
        <v>1.7</v>
      </c>
      <c r="B179" s="10">
        <v>848.3</v>
      </c>
      <c r="C179" s="10">
        <v>682.2</v>
      </c>
      <c r="D179" s="10">
        <v>595.29999999999995</v>
      </c>
      <c r="E179" s="10">
        <v>470.3</v>
      </c>
      <c r="F179" s="10">
        <v>333.4</v>
      </c>
      <c r="G179" s="10">
        <v>227.3</v>
      </c>
      <c r="H179" s="10">
        <v>200.2</v>
      </c>
      <c r="I179" s="10">
        <v>146.69999999999999</v>
      </c>
      <c r="J179" s="10">
        <v>121.4</v>
      </c>
      <c r="K179" s="10">
        <v>87.2</v>
      </c>
      <c r="L179" s="10">
        <v>70.400000000000006</v>
      </c>
      <c r="M179" s="10">
        <v>59.7</v>
      </c>
      <c r="N179" s="10">
        <v>39.9</v>
      </c>
      <c r="O179" s="10">
        <v>34.1</v>
      </c>
    </row>
    <row r="180" spans="1:15" x14ac:dyDescent="0.15">
      <c r="A180" s="25">
        <v>1.67</v>
      </c>
      <c r="B180" s="10">
        <v>862.1</v>
      </c>
      <c r="C180" s="10">
        <v>693.3</v>
      </c>
      <c r="D180" s="10">
        <v>605</v>
      </c>
      <c r="E180" s="10">
        <v>478</v>
      </c>
      <c r="F180" s="10">
        <v>338.8</v>
      </c>
      <c r="G180" s="10">
        <v>237.3</v>
      </c>
      <c r="H180" s="10">
        <v>201.2</v>
      </c>
      <c r="I180" s="10">
        <v>149.80000000000001</v>
      </c>
      <c r="J180" s="10">
        <v>123.8</v>
      </c>
      <c r="K180" s="10">
        <v>88.7</v>
      </c>
      <c r="L180" s="10">
        <v>71.099999999999994</v>
      </c>
      <c r="M180" s="10">
        <v>60.2</v>
      </c>
      <c r="N180" s="10">
        <v>40.299999999999997</v>
      </c>
      <c r="O180" s="10">
        <v>34.5</v>
      </c>
    </row>
    <row r="181" spans="1:15" x14ac:dyDescent="0.15">
      <c r="A181" s="25">
        <v>1.6</v>
      </c>
      <c r="B181" s="10">
        <v>874.2</v>
      </c>
      <c r="C181" s="10">
        <v>703</v>
      </c>
      <c r="D181" s="10">
        <v>613.5</v>
      </c>
      <c r="E181" s="10">
        <v>484.6</v>
      </c>
      <c r="F181" s="10">
        <v>343.5</v>
      </c>
      <c r="G181" s="10">
        <v>248.1</v>
      </c>
      <c r="H181" s="10">
        <v>203.5</v>
      </c>
      <c r="I181" s="10">
        <v>153.69999999999999</v>
      </c>
      <c r="J181" s="10">
        <v>125.4</v>
      </c>
      <c r="K181" s="10">
        <v>90.5</v>
      </c>
      <c r="L181" s="10">
        <v>72.400000000000006</v>
      </c>
      <c r="M181" s="10">
        <v>61.2</v>
      </c>
      <c r="N181" s="10">
        <v>40.4</v>
      </c>
      <c r="O181" s="10">
        <v>34.700000000000003</v>
      </c>
    </row>
    <row r="182" spans="1:15" s="29" customFormat="1" x14ac:dyDescent="0.15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</row>
    <row r="183" spans="1:15" x14ac:dyDescent="0.15">
      <c r="A183" s="24" t="s">
        <v>164</v>
      </c>
      <c r="B183" s="24" t="s">
        <v>144</v>
      </c>
      <c r="C183" s="24" t="s">
        <v>120</v>
      </c>
      <c r="D183" s="24" t="s">
        <v>121</v>
      </c>
      <c r="E183" s="24" t="s">
        <v>122</v>
      </c>
      <c r="F183" s="24" t="s">
        <v>123</v>
      </c>
      <c r="G183" s="24" t="s">
        <v>124</v>
      </c>
      <c r="H183" s="24" t="s">
        <v>145</v>
      </c>
      <c r="I183" s="24" t="s">
        <v>146</v>
      </c>
      <c r="J183" s="24" t="s">
        <v>147</v>
      </c>
      <c r="K183" s="24" t="s">
        <v>148</v>
      </c>
      <c r="L183" s="24" t="s">
        <v>149</v>
      </c>
      <c r="M183" s="24" t="s">
        <v>150</v>
      </c>
      <c r="N183" s="24" t="s">
        <v>151</v>
      </c>
      <c r="O183" s="24" t="s">
        <v>152</v>
      </c>
    </row>
    <row r="184" spans="1:15" x14ac:dyDescent="0.15">
      <c r="A184" s="7">
        <v>1.85</v>
      </c>
      <c r="B184" s="10">
        <v>726.2</v>
      </c>
      <c r="C184" s="10">
        <v>584</v>
      </c>
      <c r="D184" s="10">
        <v>509.6</v>
      </c>
      <c r="E184" s="10">
        <v>402.6</v>
      </c>
      <c r="F184" s="10">
        <v>280.3</v>
      </c>
      <c r="G184" s="10">
        <v>222</v>
      </c>
      <c r="H184" s="10">
        <v>181</v>
      </c>
      <c r="I184" s="10">
        <v>133.19999999999999</v>
      </c>
      <c r="J184" s="10">
        <v>109.3</v>
      </c>
      <c r="K184" s="10">
        <v>81.8</v>
      </c>
      <c r="L184" s="10">
        <v>64.900000000000006</v>
      </c>
      <c r="M184" s="10">
        <v>55.1</v>
      </c>
      <c r="N184" s="10">
        <v>38.4</v>
      </c>
      <c r="O184" s="10">
        <v>32.9</v>
      </c>
    </row>
    <row r="185" spans="1:15" x14ac:dyDescent="0.15">
      <c r="A185" s="7">
        <v>1.8</v>
      </c>
      <c r="B185" s="10">
        <v>812.3</v>
      </c>
      <c r="C185" s="10">
        <v>653.29999999999995</v>
      </c>
      <c r="D185" s="10">
        <v>570.1</v>
      </c>
      <c r="E185" s="10">
        <v>450.3</v>
      </c>
      <c r="F185" s="10">
        <v>313.5</v>
      </c>
      <c r="G185" s="10">
        <v>234.2</v>
      </c>
      <c r="H185" s="10">
        <v>186</v>
      </c>
      <c r="I185" s="10">
        <v>136.5</v>
      </c>
      <c r="J185" s="10">
        <v>115.2</v>
      </c>
      <c r="K185" s="10">
        <v>84.1</v>
      </c>
      <c r="L185" s="10">
        <v>67.099999999999994</v>
      </c>
      <c r="M185" s="10">
        <v>57.1</v>
      </c>
      <c r="N185" s="10">
        <v>39.1</v>
      </c>
      <c r="O185" s="10">
        <v>33.799999999999997</v>
      </c>
    </row>
    <row r="186" spans="1:15" x14ac:dyDescent="0.15">
      <c r="A186" s="7">
        <v>1.75</v>
      </c>
      <c r="B186" s="10">
        <v>867.9</v>
      </c>
      <c r="C186" s="10">
        <v>698</v>
      </c>
      <c r="D186" s="10">
        <v>609.1</v>
      </c>
      <c r="E186" s="10">
        <v>481.1</v>
      </c>
      <c r="F186" s="10">
        <v>335</v>
      </c>
      <c r="G186" s="10">
        <v>246.8</v>
      </c>
      <c r="H186" s="10">
        <v>192.8</v>
      </c>
      <c r="I186" s="10">
        <v>141.5</v>
      </c>
      <c r="J186" s="10">
        <v>119.1</v>
      </c>
      <c r="K186" s="10">
        <v>85.7</v>
      </c>
      <c r="L186" s="10">
        <v>69.099999999999994</v>
      </c>
      <c r="M186" s="10">
        <v>58.5</v>
      </c>
      <c r="N186" s="10">
        <v>39.299999999999997</v>
      </c>
      <c r="O186" s="10">
        <v>33.9</v>
      </c>
    </row>
    <row r="187" spans="1:15" x14ac:dyDescent="0.15">
      <c r="A187" s="7">
        <v>1.7</v>
      </c>
      <c r="B187" s="10">
        <v>911.4</v>
      </c>
      <c r="C187" s="10">
        <v>733</v>
      </c>
      <c r="D187" s="10">
        <v>639.6</v>
      </c>
      <c r="E187" s="10">
        <v>505.3</v>
      </c>
      <c r="F187" s="10">
        <v>351.8</v>
      </c>
      <c r="G187" s="10">
        <v>258.89999999999998</v>
      </c>
      <c r="H187" s="10">
        <v>200.2</v>
      </c>
      <c r="I187" s="10">
        <v>146.69999999999999</v>
      </c>
      <c r="J187" s="10">
        <v>121.4</v>
      </c>
      <c r="K187" s="10">
        <v>87.2</v>
      </c>
      <c r="L187" s="10">
        <v>70.400000000000006</v>
      </c>
      <c r="M187" s="10">
        <v>59.7</v>
      </c>
      <c r="N187" s="10">
        <v>39.9</v>
      </c>
      <c r="O187" s="10">
        <v>34.1</v>
      </c>
    </row>
    <row r="188" spans="1:15" x14ac:dyDescent="0.15">
      <c r="A188" s="25">
        <v>1.67</v>
      </c>
      <c r="B188" s="10">
        <v>926.3</v>
      </c>
      <c r="C188" s="10">
        <v>744.9</v>
      </c>
      <c r="D188" s="10">
        <v>650</v>
      </c>
      <c r="E188" s="10">
        <v>513.5</v>
      </c>
      <c r="F188" s="10">
        <v>357.5</v>
      </c>
      <c r="G188" s="10">
        <v>263.2</v>
      </c>
      <c r="H188" s="10">
        <v>201.2</v>
      </c>
      <c r="I188" s="10">
        <v>149.80000000000001</v>
      </c>
      <c r="J188" s="10">
        <v>123.8</v>
      </c>
      <c r="K188" s="10">
        <v>88.7</v>
      </c>
      <c r="L188" s="10">
        <v>71.099999999999994</v>
      </c>
      <c r="M188" s="10">
        <v>60.2</v>
      </c>
      <c r="N188" s="10">
        <v>40.299999999999997</v>
      </c>
      <c r="O188" s="10">
        <v>34.5</v>
      </c>
    </row>
    <row r="189" spans="1:15" x14ac:dyDescent="0.15">
      <c r="A189" s="25">
        <v>1.6</v>
      </c>
      <c r="B189" s="10">
        <v>939.2</v>
      </c>
      <c r="C189" s="10">
        <v>755.3</v>
      </c>
      <c r="D189" s="10">
        <v>659.1</v>
      </c>
      <c r="E189" s="10">
        <v>520.70000000000005</v>
      </c>
      <c r="F189" s="10">
        <v>362.5</v>
      </c>
      <c r="G189" s="10">
        <v>267.60000000000002</v>
      </c>
      <c r="H189" s="10">
        <v>203.5</v>
      </c>
      <c r="I189" s="10">
        <v>153.69999999999999</v>
      </c>
      <c r="J189" s="10">
        <v>125.4</v>
      </c>
      <c r="K189" s="10">
        <v>90.5</v>
      </c>
      <c r="L189" s="10">
        <v>72.400000000000006</v>
      </c>
      <c r="M189" s="10">
        <v>61.2</v>
      </c>
      <c r="N189" s="10">
        <v>40.4</v>
      </c>
      <c r="O189" s="10">
        <v>34.700000000000003</v>
      </c>
    </row>
    <row r="190" spans="1:15" s="29" customFormat="1" x14ac:dyDescent="0.15">
      <c r="A190" s="27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</row>
    <row r="191" spans="1:15" x14ac:dyDescent="0.15">
      <c r="A191" s="24" t="s">
        <v>165</v>
      </c>
      <c r="B191" s="24" t="s">
        <v>144</v>
      </c>
      <c r="C191" s="24" t="s">
        <v>120</v>
      </c>
      <c r="D191" s="24" t="s">
        <v>121</v>
      </c>
      <c r="E191" s="24" t="s">
        <v>122</v>
      </c>
      <c r="F191" s="24" t="s">
        <v>123</v>
      </c>
      <c r="G191" s="24" t="s">
        <v>124</v>
      </c>
      <c r="H191" s="24" t="s">
        <v>145</v>
      </c>
      <c r="I191" s="24" t="s">
        <v>146</v>
      </c>
      <c r="J191" s="24" t="s">
        <v>147</v>
      </c>
      <c r="K191" s="24" t="s">
        <v>148</v>
      </c>
      <c r="L191" s="24" t="s">
        <v>149</v>
      </c>
      <c r="M191" s="24" t="s">
        <v>150</v>
      </c>
      <c r="N191" s="24" t="s">
        <v>151</v>
      </c>
      <c r="O191" s="24" t="s">
        <v>152</v>
      </c>
    </row>
    <row r="192" spans="1:15" x14ac:dyDescent="0.15">
      <c r="A192" s="7">
        <v>1.85</v>
      </c>
      <c r="B192" s="10">
        <v>782</v>
      </c>
      <c r="C192" s="10">
        <v>628.9</v>
      </c>
      <c r="D192" s="10">
        <v>548.79999999999995</v>
      </c>
      <c r="E192" s="10">
        <v>433.6</v>
      </c>
      <c r="F192" s="10">
        <v>301.8</v>
      </c>
      <c r="G192" s="10">
        <v>248.1</v>
      </c>
      <c r="H192" s="10">
        <v>202.3</v>
      </c>
      <c r="I192" s="10">
        <v>148.9</v>
      </c>
      <c r="J192" s="10">
        <v>122.2</v>
      </c>
      <c r="K192" s="10">
        <v>91.4</v>
      </c>
      <c r="L192" s="10">
        <v>72.5</v>
      </c>
      <c r="M192" s="10">
        <v>61.6</v>
      </c>
      <c r="N192" s="10">
        <v>42.9</v>
      </c>
      <c r="O192" s="10">
        <v>36.799999999999997</v>
      </c>
    </row>
    <row r="193" spans="1:15" x14ac:dyDescent="0.15">
      <c r="A193" s="7">
        <v>1.8</v>
      </c>
      <c r="B193" s="10">
        <v>874.8</v>
      </c>
      <c r="C193" s="10">
        <v>703.5</v>
      </c>
      <c r="D193" s="10">
        <v>613.9</v>
      </c>
      <c r="E193" s="10">
        <v>485</v>
      </c>
      <c r="F193" s="10">
        <v>337.6</v>
      </c>
      <c r="G193" s="10">
        <v>261.7</v>
      </c>
      <c r="H193" s="10">
        <v>207.9</v>
      </c>
      <c r="I193" s="10">
        <v>152.5</v>
      </c>
      <c r="J193" s="10">
        <v>128.69999999999999</v>
      </c>
      <c r="K193" s="10">
        <v>94</v>
      </c>
      <c r="L193" s="10">
        <v>75</v>
      </c>
      <c r="M193" s="10">
        <v>63.8</v>
      </c>
      <c r="N193" s="10">
        <v>43.7</v>
      </c>
      <c r="O193" s="10">
        <v>37.700000000000003</v>
      </c>
    </row>
    <row r="194" spans="1:15" x14ac:dyDescent="0.15">
      <c r="A194" s="7">
        <v>1.75</v>
      </c>
      <c r="B194" s="10">
        <v>933.7</v>
      </c>
      <c r="C194" s="10">
        <v>750.9</v>
      </c>
      <c r="D194" s="10">
        <v>655.20000000000005</v>
      </c>
      <c r="E194" s="10">
        <v>517.6</v>
      </c>
      <c r="F194" s="10">
        <v>360.4</v>
      </c>
      <c r="G194" s="10">
        <v>275.8</v>
      </c>
      <c r="H194" s="10">
        <v>215.5</v>
      </c>
      <c r="I194" s="10">
        <v>158.1</v>
      </c>
      <c r="J194" s="10">
        <v>133.1</v>
      </c>
      <c r="K194" s="10">
        <v>95.7</v>
      </c>
      <c r="L194" s="10">
        <v>77.2</v>
      </c>
      <c r="M194" s="10">
        <v>65.400000000000006</v>
      </c>
      <c r="N194" s="10">
        <v>44</v>
      </c>
      <c r="O194" s="10">
        <v>37.799999999999997</v>
      </c>
    </row>
    <row r="195" spans="1:15" x14ac:dyDescent="0.15">
      <c r="A195" s="7">
        <v>1.7</v>
      </c>
      <c r="B195" s="10">
        <v>981.5</v>
      </c>
      <c r="C195" s="10">
        <v>789.4</v>
      </c>
      <c r="D195" s="10">
        <v>688.8</v>
      </c>
      <c r="E195" s="10">
        <v>544.20000000000005</v>
      </c>
      <c r="F195" s="10">
        <v>378.8</v>
      </c>
      <c r="G195" s="10">
        <v>287.5</v>
      </c>
      <c r="H195" s="10">
        <v>223.7</v>
      </c>
      <c r="I195" s="10">
        <v>163.9</v>
      </c>
      <c r="J195" s="10">
        <v>135.69999999999999</v>
      </c>
      <c r="K195" s="10">
        <v>97.5</v>
      </c>
      <c r="L195" s="10">
        <v>78.7</v>
      </c>
      <c r="M195" s="10">
        <v>66.7</v>
      </c>
      <c r="N195" s="10">
        <v>44.6</v>
      </c>
      <c r="O195" s="10">
        <v>38.1</v>
      </c>
    </row>
    <row r="196" spans="1:15" x14ac:dyDescent="0.15">
      <c r="A196" s="25">
        <v>1.67</v>
      </c>
      <c r="B196" s="10">
        <v>997.5</v>
      </c>
      <c r="C196" s="10">
        <v>802.2</v>
      </c>
      <c r="D196" s="10">
        <v>705</v>
      </c>
      <c r="E196" s="10">
        <v>553</v>
      </c>
      <c r="F196" s="10">
        <v>385</v>
      </c>
      <c r="G196" s="10">
        <v>293.7</v>
      </c>
      <c r="H196" s="10">
        <v>224.9</v>
      </c>
      <c r="I196" s="10">
        <v>167.4</v>
      </c>
      <c r="J196" s="10">
        <v>138.4</v>
      </c>
      <c r="K196" s="10">
        <v>99.1</v>
      </c>
      <c r="L196" s="10">
        <v>79.5</v>
      </c>
      <c r="M196" s="10">
        <v>67.3</v>
      </c>
      <c r="N196" s="10">
        <v>45</v>
      </c>
      <c r="O196" s="10">
        <v>38.6</v>
      </c>
    </row>
    <row r="197" spans="1:15" x14ac:dyDescent="0.15">
      <c r="A197" s="25">
        <v>1.6</v>
      </c>
      <c r="B197" s="10">
        <v>1011.5</v>
      </c>
      <c r="C197" s="10">
        <v>813.4</v>
      </c>
      <c r="D197" s="10">
        <v>709.8</v>
      </c>
      <c r="E197" s="10">
        <v>560.70000000000005</v>
      </c>
      <c r="F197" s="10">
        <v>390.4</v>
      </c>
      <c r="G197" s="10">
        <v>298.10000000000002</v>
      </c>
      <c r="H197" s="10">
        <v>227.4</v>
      </c>
      <c r="I197" s="10">
        <v>171.8</v>
      </c>
      <c r="J197" s="10">
        <v>140.19999999999999</v>
      </c>
      <c r="K197" s="10">
        <v>101.2</v>
      </c>
      <c r="L197" s="10">
        <v>80.900000000000006</v>
      </c>
      <c r="M197" s="10">
        <v>68.400000000000006</v>
      </c>
      <c r="N197" s="10">
        <v>45.2</v>
      </c>
      <c r="O197" s="10">
        <v>38.700000000000003</v>
      </c>
    </row>
    <row r="198" spans="1:15" s="29" customFormat="1" x14ac:dyDescent="0.15">
      <c r="A198" s="27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</row>
    <row r="199" spans="1:15" x14ac:dyDescent="0.15">
      <c r="A199" s="24" t="s">
        <v>166</v>
      </c>
      <c r="B199" s="24" t="s">
        <v>144</v>
      </c>
      <c r="C199" s="24" t="s">
        <v>120</v>
      </c>
      <c r="D199" s="24" t="s">
        <v>121</v>
      </c>
      <c r="E199" s="24" t="s">
        <v>122</v>
      </c>
      <c r="F199" s="24" t="s">
        <v>123</v>
      </c>
      <c r="G199" s="24" t="s">
        <v>124</v>
      </c>
      <c r="H199" s="24" t="s">
        <v>145</v>
      </c>
      <c r="I199" s="24" t="s">
        <v>146</v>
      </c>
      <c r="J199" s="24" t="s">
        <v>147</v>
      </c>
      <c r="K199" s="24" t="s">
        <v>148</v>
      </c>
      <c r="L199" s="24" t="s">
        <v>149</v>
      </c>
      <c r="M199" s="24" t="s">
        <v>150</v>
      </c>
      <c r="N199" s="24" t="s">
        <v>151</v>
      </c>
      <c r="O199" s="24" t="s">
        <v>152</v>
      </c>
    </row>
    <row r="200" spans="1:15" x14ac:dyDescent="0.15">
      <c r="A200" s="7">
        <v>1.85</v>
      </c>
      <c r="B200" s="10">
        <v>837.9</v>
      </c>
      <c r="C200" s="10">
        <v>673.8</v>
      </c>
      <c r="D200" s="10">
        <v>588</v>
      </c>
      <c r="E200" s="10">
        <v>464.5</v>
      </c>
      <c r="F200" s="10">
        <v>323.39999999999998</v>
      </c>
      <c r="G200" s="10">
        <v>241.6</v>
      </c>
      <c r="H200" s="10">
        <v>196.9</v>
      </c>
      <c r="I200" s="10">
        <v>144.9</v>
      </c>
      <c r="J200" s="10">
        <v>119</v>
      </c>
      <c r="K200" s="10">
        <v>89</v>
      </c>
      <c r="L200" s="10">
        <v>70.599999999999994</v>
      </c>
      <c r="M200" s="10">
        <v>60</v>
      </c>
      <c r="N200" s="10">
        <v>41.8</v>
      </c>
      <c r="O200" s="10">
        <v>35.799999999999997</v>
      </c>
    </row>
    <row r="201" spans="1:15" x14ac:dyDescent="0.15">
      <c r="A201" s="7">
        <v>1.8</v>
      </c>
      <c r="B201" s="10">
        <v>937.3</v>
      </c>
      <c r="C201" s="10">
        <v>753.8</v>
      </c>
      <c r="D201" s="10">
        <v>657.8</v>
      </c>
      <c r="E201" s="10">
        <v>519.6</v>
      </c>
      <c r="F201" s="10">
        <v>361.8</v>
      </c>
      <c r="G201" s="10">
        <v>254.8</v>
      </c>
      <c r="H201" s="10">
        <v>202.4</v>
      </c>
      <c r="I201" s="10">
        <v>148.5</v>
      </c>
      <c r="J201" s="10">
        <v>125.3</v>
      </c>
      <c r="K201" s="10">
        <v>91.5</v>
      </c>
      <c r="L201" s="10">
        <v>73</v>
      </c>
      <c r="M201" s="10">
        <v>62.1</v>
      </c>
      <c r="N201" s="10">
        <v>42.5</v>
      </c>
      <c r="O201" s="10">
        <v>36.700000000000003</v>
      </c>
    </row>
    <row r="202" spans="1:15" x14ac:dyDescent="0.15">
      <c r="A202" s="7">
        <v>1.75</v>
      </c>
      <c r="B202" s="10">
        <v>983.3</v>
      </c>
      <c r="C202" s="10">
        <v>790.7</v>
      </c>
      <c r="D202" s="10">
        <v>690</v>
      </c>
      <c r="E202" s="10">
        <v>545.1</v>
      </c>
      <c r="F202" s="10">
        <v>379.5</v>
      </c>
      <c r="G202" s="10">
        <v>268.60000000000002</v>
      </c>
      <c r="H202" s="10">
        <v>209.9</v>
      </c>
      <c r="I202" s="10">
        <v>154</v>
      </c>
      <c r="J202" s="10">
        <v>129.6</v>
      </c>
      <c r="K202" s="10">
        <v>93.2</v>
      </c>
      <c r="L202" s="10">
        <v>75.2</v>
      </c>
      <c r="M202" s="10">
        <v>63.7</v>
      </c>
      <c r="N202" s="10">
        <v>42.8</v>
      </c>
      <c r="O202" s="10">
        <v>36.799999999999997</v>
      </c>
    </row>
    <row r="203" spans="1:15" x14ac:dyDescent="0.15">
      <c r="A203" s="7">
        <v>1.7</v>
      </c>
      <c r="B203" s="10">
        <v>1026</v>
      </c>
      <c r="C203" s="10">
        <v>825.1</v>
      </c>
      <c r="D203" s="10">
        <v>720</v>
      </c>
      <c r="E203" s="10">
        <v>568.79999999999995</v>
      </c>
      <c r="F203" s="10">
        <v>396</v>
      </c>
      <c r="G203" s="10">
        <v>279.89999999999998</v>
      </c>
      <c r="H203" s="10">
        <v>217.8</v>
      </c>
      <c r="I203" s="10">
        <v>159.6</v>
      </c>
      <c r="J203" s="10">
        <v>132.1</v>
      </c>
      <c r="K203" s="10">
        <v>94.9</v>
      </c>
      <c r="L203" s="10">
        <v>76.599999999999994</v>
      </c>
      <c r="M203" s="10">
        <v>64.900000000000006</v>
      </c>
      <c r="N203" s="10">
        <v>43.4</v>
      </c>
      <c r="O203" s="10">
        <v>37.1</v>
      </c>
    </row>
    <row r="204" spans="1:15" x14ac:dyDescent="0.15">
      <c r="A204" s="25">
        <v>1.67</v>
      </c>
      <c r="B204" s="10">
        <v>1068.8</v>
      </c>
      <c r="C204" s="10">
        <v>859.5</v>
      </c>
      <c r="D204" s="10">
        <v>750</v>
      </c>
      <c r="E204" s="10">
        <v>592.5</v>
      </c>
      <c r="F204" s="10">
        <v>412.5</v>
      </c>
      <c r="G204" s="10">
        <v>286</v>
      </c>
      <c r="H204" s="10">
        <v>219</v>
      </c>
      <c r="I204" s="10">
        <v>163</v>
      </c>
      <c r="J204" s="10">
        <v>134.69999999999999</v>
      </c>
      <c r="K204" s="10">
        <v>96.5</v>
      </c>
      <c r="L204" s="10">
        <v>77.400000000000006</v>
      </c>
      <c r="M204" s="10">
        <v>65.5</v>
      </c>
      <c r="N204" s="10">
        <v>43.8</v>
      </c>
      <c r="O204" s="10">
        <v>37.6</v>
      </c>
    </row>
    <row r="205" spans="1:15" x14ac:dyDescent="0.15">
      <c r="A205" s="25">
        <v>1.6</v>
      </c>
      <c r="B205" s="10">
        <v>1083.7</v>
      </c>
      <c r="C205" s="10">
        <v>871.5</v>
      </c>
      <c r="D205" s="10">
        <v>760.5</v>
      </c>
      <c r="E205" s="10">
        <v>600.79999999999995</v>
      </c>
      <c r="F205" s="10">
        <v>418.3</v>
      </c>
      <c r="G205" s="10">
        <v>290.3</v>
      </c>
      <c r="H205" s="10">
        <v>221.5</v>
      </c>
      <c r="I205" s="10">
        <v>167.3</v>
      </c>
      <c r="J205" s="10">
        <v>136.5</v>
      </c>
      <c r="K205" s="10">
        <v>98.5</v>
      </c>
      <c r="L205" s="10">
        <v>78.8</v>
      </c>
      <c r="M205" s="10">
        <v>66.599999999999994</v>
      </c>
      <c r="N205" s="10">
        <v>44</v>
      </c>
      <c r="O205" s="10">
        <v>37.700000000000003</v>
      </c>
    </row>
    <row r="206" spans="1:15" s="29" customFormat="1" x14ac:dyDescent="0.15">
      <c r="A206" s="27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</row>
    <row r="207" spans="1:15" x14ac:dyDescent="0.15">
      <c r="A207" s="24" t="s">
        <v>167</v>
      </c>
      <c r="B207" s="24" t="s">
        <v>144</v>
      </c>
      <c r="C207" s="24" t="s">
        <v>120</v>
      </c>
      <c r="D207" s="24" t="s">
        <v>121</v>
      </c>
      <c r="E207" s="24" t="s">
        <v>122</v>
      </c>
      <c r="F207" s="24" t="s">
        <v>123</v>
      </c>
      <c r="G207" s="24" t="s">
        <v>124</v>
      </c>
      <c r="H207" s="24" t="s">
        <v>145</v>
      </c>
      <c r="I207" s="24" t="s">
        <v>146</v>
      </c>
      <c r="J207" s="24" t="s">
        <v>147</v>
      </c>
      <c r="K207" s="24" t="s">
        <v>148</v>
      </c>
      <c r="L207" s="24" t="s">
        <v>149</v>
      </c>
      <c r="M207" s="24" t="s">
        <v>150</v>
      </c>
      <c r="N207" s="24" t="s">
        <v>151</v>
      </c>
      <c r="O207" s="24" t="s">
        <v>152</v>
      </c>
    </row>
    <row r="208" spans="1:15" x14ac:dyDescent="0.15">
      <c r="A208" s="7">
        <v>1.85</v>
      </c>
      <c r="B208" s="10">
        <v>893.8</v>
      </c>
      <c r="C208" s="10">
        <v>718.8</v>
      </c>
      <c r="D208" s="10">
        <v>627.20000000000005</v>
      </c>
      <c r="E208" s="10">
        <v>495.5</v>
      </c>
      <c r="F208" s="10">
        <v>345</v>
      </c>
      <c r="G208" s="10">
        <v>274.2</v>
      </c>
      <c r="H208" s="10">
        <v>223.6</v>
      </c>
      <c r="I208" s="10">
        <v>164.5</v>
      </c>
      <c r="J208" s="10">
        <v>135</v>
      </c>
      <c r="K208" s="10">
        <v>101</v>
      </c>
      <c r="L208" s="10">
        <v>80.2</v>
      </c>
      <c r="M208" s="10">
        <v>68.099999999999994</v>
      </c>
      <c r="N208" s="10">
        <v>47.4</v>
      </c>
      <c r="O208" s="10">
        <v>40.6</v>
      </c>
    </row>
    <row r="209" spans="1:15" x14ac:dyDescent="0.15">
      <c r="A209" s="7">
        <v>1.8</v>
      </c>
      <c r="B209" s="10">
        <v>999.8</v>
      </c>
      <c r="C209" s="10">
        <v>804</v>
      </c>
      <c r="D209" s="10">
        <v>701.6</v>
      </c>
      <c r="E209" s="10">
        <v>554.29999999999995</v>
      </c>
      <c r="F209" s="10">
        <v>385.9</v>
      </c>
      <c r="G209" s="10">
        <v>289.3</v>
      </c>
      <c r="H209" s="10">
        <v>229.8</v>
      </c>
      <c r="I209" s="10">
        <v>168.6</v>
      </c>
      <c r="J209" s="10">
        <v>142.19999999999999</v>
      </c>
      <c r="K209" s="10">
        <v>103.9</v>
      </c>
      <c r="L209" s="10">
        <v>82.8</v>
      </c>
      <c r="M209" s="10">
        <v>70.5</v>
      </c>
      <c r="N209" s="10">
        <v>48.3</v>
      </c>
      <c r="O209" s="10">
        <v>41.7</v>
      </c>
    </row>
    <row r="210" spans="1:15" x14ac:dyDescent="0.15">
      <c r="A210" s="7">
        <v>1.75</v>
      </c>
      <c r="B210" s="10">
        <v>1048.8</v>
      </c>
      <c r="C210" s="10">
        <v>843.5</v>
      </c>
      <c r="D210" s="10">
        <v>736</v>
      </c>
      <c r="E210" s="10">
        <v>581.4</v>
      </c>
      <c r="F210" s="10">
        <v>404.8</v>
      </c>
      <c r="G210" s="10">
        <v>304.89999999999998</v>
      </c>
      <c r="H210" s="10">
        <v>238.2</v>
      </c>
      <c r="I210" s="10">
        <v>174.8</v>
      </c>
      <c r="J210" s="10">
        <v>147.1</v>
      </c>
      <c r="K210" s="10">
        <v>105.8</v>
      </c>
      <c r="L210" s="10">
        <v>85.3</v>
      </c>
      <c r="M210" s="10">
        <v>72.3</v>
      </c>
      <c r="N210" s="10">
        <v>48.6</v>
      </c>
      <c r="O210" s="10">
        <v>41.8</v>
      </c>
    </row>
    <row r="211" spans="1:15" x14ac:dyDescent="0.15">
      <c r="A211" s="7">
        <v>1.7</v>
      </c>
      <c r="B211" s="10">
        <v>1094.4000000000001</v>
      </c>
      <c r="C211" s="10">
        <v>880.1</v>
      </c>
      <c r="D211" s="10">
        <v>768</v>
      </c>
      <c r="E211" s="10">
        <v>606.70000000000005</v>
      </c>
      <c r="F211" s="10">
        <v>422.4</v>
      </c>
      <c r="G211" s="10">
        <v>317.7</v>
      </c>
      <c r="H211" s="10">
        <v>247.3</v>
      </c>
      <c r="I211" s="10">
        <v>181.2</v>
      </c>
      <c r="J211" s="10">
        <v>150</v>
      </c>
      <c r="K211" s="10">
        <v>107.7</v>
      </c>
      <c r="L211" s="10">
        <v>87</v>
      </c>
      <c r="M211" s="10">
        <v>73.7</v>
      </c>
      <c r="N211" s="10">
        <v>49.3</v>
      </c>
      <c r="O211" s="10">
        <v>42.1</v>
      </c>
    </row>
    <row r="212" spans="1:15" x14ac:dyDescent="0.15">
      <c r="A212" s="25">
        <v>1.67</v>
      </c>
      <c r="B212" s="10">
        <v>1140</v>
      </c>
      <c r="C212" s="10">
        <v>916.8</v>
      </c>
      <c r="D212" s="10">
        <v>800</v>
      </c>
      <c r="E212" s="10">
        <v>632</v>
      </c>
      <c r="F212" s="10">
        <v>440</v>
      </c>
      <c r="G212" s="10">
        <v>324.60000000000002</v>
      </c>
      <c r="H212" s="10">
        <v>248.6</v>
      </c>
      <c r="I212" s="10">
        <v>185</v>
      </c>
      <c r="J212" s="10">
        <v>152.9</v>
      </c>
      <c r="K212" s="10">
        <v>109.6</v>
      </c>
      <c r="L212" s="10">
        <v>87.8</v>
      </c>
      <c r="M212" s="10">
        <v>74.400000000000006</v>
      </c>
      <c r="N212" s="10">
        <v>49.8</v>
      </c>
      <c r="O212" s="10">
        <v>42.7</v>
      </c>
    </row>
    <row r="213" spans="1:15" x14ac:dyDescent="0.15">
      <c r="A213" s="25">
        <v>1.6</v>
      </c>
      <c r="B213" s="10">
        <v>1156</v>
      </c>
      <c r="C213" s="10">
        <v>929.6</v>
      </c>
      <c r="D213" s="10">
        <v>811.2</v>
      </c>
      <c r="E213" s="10">
        <v>640.79999999999995</v>
      </c>
      <c r="F213" s="10">
        <v>446.2</v>
      </c>
      <c r="G213" s="10">
        <v>329.5</v>
      </c>
      <c r="H213" s="10">
        <v>251.4</v>
      </c>
      <c r="I213" s="10">
        <v>189.9</v>
      </c>
      <c r="J213" s="10">
        <v>155</v>
      </c>
      <c r="K213" s="10">
        <v>111.8</v>
      </c>
      <c r="L213" s="10">
        <v>89.5</v>
      </c>
      <c r="M213" s="10">
        <v>75.5</v>
      </c>
      <c r="N213" s="10">
        <v>49.9</v>
      </c>
      <c r="O213" s="10">
        <v>42.8</v>
      </c>
    </row>
    <row r="214" spans="1:15" s="29" customFormat="1" x14ac:dyDescent="0.15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</row>
    <row r="215" spans="1:15" x14ac:dyDescent="0.15">
      <c r="A215" s="24" t="s">
        <v>168</v>
      </c>
      <c r="B215" s="24" t="s">
        <v>144</v>
      </c>
      <c r="C215" s="24" t="s">
        <v>120</v>
      </c>
      <c r="D215" s="24" t="s">
        <v>121</v>
      </c>
      <c r="E215" s="24" t="s">
        <v>122</v>
      </c>
      <c r="F215" s="24" t="s">
        <v>123</v>
      </c>
      <c r="G215" s="24" t="s">
        <v>124</v>
      </c>
      <c r="H215" s="24" t="s">
        <v>145</v>
      </c>
      <c r="I215" s="24" t="s">
        <v>146</v>
      </c>
      <c r="J215" s="24" t="s">
        <v>147</v>
      </c>
      <c r="K215" s="24" t="s">
        <v>148</v>
      </c>
      <c r="L215" s="24" t="s">
        <v>149</v>
      </c>
      <c r="M215" s="24" t="s">
        <v>150</v>
      </c>
      <c r="N215" s="24" t="s">
        <v>151</v>
      </c>
      <c r="O215" s="24" t="s">
        <v>152</v>
      </c>
    </row>
    <row r="216" spans="1:15" x14ac:dyDescent="0.15">
      <c r="A216" s="7">
        <v>1.85</v>
      </c>
      <c r="B216" s="10">
        <v>994.3</v>
      </c>
      <c r="C216" s="10">
        <v>799.6</v>
      </c>
      <c r="D216" s="10">
        <v>697.8</v>
      </c>
      <c r="E216" s="10">
        <v>551.20000000000005</v>
      </c>
      <c r="F216" s="10">
        <v>383.8</v>
      </c>
      <c r="G216" s="10">
        <v>306.89999999999998</v>
      </c>
      <c r="H216" s="10">
        <v>250.2</v>
      </c>
      <c r="I216" s="10">
        <v>184.1</v>
      </c>
      <c r="J216" s="10">
        <v>151.1</v>
      </c>
      <c r="K216" s="10">
        <v>113</v>
      </c>
      <c r="L216" s="10">
        <v>89.7</v>
      </c>
      <c r="M216" s="10">
        <v>76.2</v>
      </c>
      <c r="N216" s="10">
        <v>53.1</v>
      </c>
      <c r="O216" s="10">
        <v>45.5</v>
      </c>
    </row>
    <row r="217" spans="1:15" x14ac:dyDescent="0.15">
      <c r="A217" s="7">
        <v>1.8</v>
      </c>
      <c r="B217" s="10">
        <v>1112.3</v>
      </c>
      <c r="C217" s="10">
        <v>894.5</v>
      </c>
      <c r="D217" s="10">
        <v>780.5</v>
      </c>
      <c r="E217" s="10">
        <v>616.6</v>
      </c>
      <c r="F217" s="10">
        <v>429.3</v>
      </c>
      <c r="G217" s="10">
        <v>323.7</v>
      </c>
      <c r="H217" s="10">
        <v>257.2</v>
      </c>
      <c r="I217" s="10">
        <v>188.7</v>
      </c>
      <c r="J217" s="10">
        <v>159.19999999999999</v>
      </c>
      <c r="K217" s="10">
        <v>116.2</v>
      </c>
      <c r="L217" s="10">
        <v>92.7</v>
      </c>
      <c r="M217" s="10">
        <v>78.900000000000006</v>
      </c>
      <c r="N217" s="10">
        <v>54</v>
      </c>
      <c r="O217" s="10">
        <v>46.7</v>
      </c>
    </row>
    <row r="218" spans="1:15" x14ac:dyDescent="0.15">
      <c r="A218" s="7">
        <v>1.75</v>
      </c>
      <c r="B218" s="10">
        <v>1187.0999999999999</v>
      </c>
      <c r="C218" s="10">
        <v>954.7</v>
      </c>
      <c r="D218" s="10">
        <v>833</v>
      </c>
      <c r="E218" s="10">
        <v>658.1</v>
      </c>
      <c r="F218" s="10">
        <v>458.2</v>
      </c>
      <c r="G218" s="10">
        <v>341.2</v>
      </c>
      <c r="H218" s="10">
        <v>266.60000000000002</v>
      </c>
      <c r="I218" s="10">
        <v>195.6</v>
      </c>
      <c r="J218" s="10">
        <v>164.6</v>
      </c>
      <c r="K218" s="10">
        <v>118.4</v>
      </c>
      <c r="L218" s="10">
        <v>95.5</v>
      </c>
      <c r="M218" s="10">
        <v>80.900000000000006</v>
      </c>
      <c r="N218" s="10">
        <v>54.4</v>
      </c>
      <c r="O218" s="10">
        <v>46.8</v>
      </c>
    </row>
    <row r="219" spans="1:15" x14ac:dyDescent="0.15">
      <c r="A219" s="7">
        <v>1.7</v>
      </c>
      <c r="B219" s="10">
        <v>1248</v>
      </c>
      <c r="C219" s="10">
        <v>1003.6</v>
      </c>
      <c r="D219" s="10">
        <v>875.8</v>
      </c>
      <c r="E219" s="10">
        <v>691.9</v>
      </c>
      <c r="F219" s="10">
        <v>481.7</v>
      </c>
      <c r="G219" s="10">
        <v>355.6</v>
      </c>
      <c r="H219" s="10">
        <v>276.7</v>
      </c>
      <c r="I219" s="10">
        <v>202.7</v>
      </c>
      <c r="J219" s="10">
        <v>167.8</v>
      </c>
      <c r="K219" s="10">
        <v>120.6</v>
      </c>
      <c r="L219" s="10">
        <v>97.4</v>
      </c>
      <c r="M219" s="10">
        <v>82.5</v>
      </c>
      <c r="N219" s="10">
        <v>55.2</v>
      </c>
      <c r="O219" s="60">
        <v>47.1</v>
      </c>
    </row>
    <row r="220" spans="1:15" x14ac:dyDescent="0.15">
      <c r="A220" s="25">
        <v>1.67</v>
      </c>
      <c r="B220" s="10">
        <v>1268.3</v>
      </c>
      <c r="C220" s="10">
        <v>1019.9</v>
      </c>
      <c r="D220" s="10">
        <v>890</v>
      </c>
      <c r="E220" s="10">
        <v>703.1</v>
      </c>
      <c r="F220" s="10">
        <v>489.5</v>
      </c>
      <c r="G220" s="10">
        <v>363.2</v>
      </c>
      <c r="H220" s="10">
        <v>278.2</v>
      </c>
      <c r="I220" s="10">
        <v>207</v>
      </c>
      <c r="J220" s="10">
        <v>171.1</v>
      </c>
      <c r="K220" s="10">
        <v>122.6</v>
      </c>
      <c r="L220" s="10">
        <v>98.3</v>
      </c>
      <c r="M220" s="10">
        <v>83.3</v>
      </c>
      <c r="N220" s="10">
        <v>55.7</v>
      </c>
      <c r="O220" s="10">
        <v>47.7</v>
      </c>
    </row>
    <row r="221" spans="1:15" x14ac:dyDescent="0.15">
      <c r="A221" s="25">
        <v>1.6</v>
      </c>
      <c r="B221" s="10">
        <v>1286</v>
      </c>
      <c r="C221" s="10">
        <v>1034.2</v>
      </c>
      <c r="D221" s="10">
        <v>902.5</v>
      </c>
      <c r="E221" s="10">
        <v>712.9</v>
      </c>
      <c r="F221" s="10">
        <v>496.4</v>
      </c>
      <c r="G221" s="10">
        <v>368.7</v>
      </c>
      <c r="H221" s="10">
        <v>281.3</v>
      </c>
      <c r="I221" s="10">
        <v>212.5</v>
      </c>
      <c r="J221" s="10">
        <v>173.4</v>
      </c>
      <c r="K221" s="10">
        <v>125.1</v>
      </c>
      <c r="L221" s="10">
        <v>100.1</v>
      </c>
      <c r="M221" s="10">
        <v>84.5</v>
      </c>
      <c r="N221" s="10">
        <v>55.9</v>
      </c>
      <c r="O221" s="10">
        <v>47.9</v>
      </c>
    </row>
    <row r="222" spans="1:15" s="29" customFormat="1" x14ac:dyDescent="0.15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</row>
    <row r="223" spans="1:15" s="29" customFormat="1" x14ac:dyDescent="0.15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</row>
    <row r="224" spans="1:15" x14ac:dyDescent="0.15">
      <c r="A224" s="24" t="s">
        <v>183</v>
      </c>
      <c r="B224" s="24" t="s">
        <v>30</v>
      </c>
      <c r="C224" s="24" t="s">
        <v>145</v>
      </c>
      <c r="D224" s="24" t="s">
        <v>146</v>
      </c>
      <c r="E224" s="24" t="s">
        <v>147</v>
      </c>
      <c r="F224" s="24" t="s">
        <v>148</v>
      </c>
      <c r="G224" s="24" t="s">
        <v>149</v>
      </c>
      <c r="H224" s="24" t="s">
        <v>150</v>
      </c>
      <c r="I224" s="24" t="s">
        <v>46</v>
      </c>
      <c r="J224" s="24" t="s">
        <v>151</v>
      </c>
      <c r="K224" s="24" t="s">
        <v>43</v>
      </c>
      <c r="L224" s="24" t="s">
        <v>44</v>
      </c>
    </row>
    <row r="225" spans="1:14" x14ac:dyDescent="0.15">
      <c r="A225" s="7">
        <v>1.85</v>
      </c>
      <c r="B225" s="7">
        <v>149.80000000000001</v>
      </c>
      <c r="C225" s="7">
        <v>83.5</v>
      </c>
      <c r="D225" s="7">
        <v>63.7</v>
      </c>
      <c r="E225" s="7">
        <v>52.4</v>
      </c>
      <c r="F225" s="7">
        <v>40</v>
      </c>
      <c r="G225" s="7">
        <v>32.9</v>
      </c>
      <c r="H225" s="7">
        <v>30.1</v>
      </c>
      <c r="I225" s="7">
        <v>26.7</v>
      </c>
      <c r="J225" s="7">
        <v>19.8</v>
      </c>
      <c r="K225" s="7">
        <v>16.600000000000001</v>
      </c>
      <c r="L225" s="7">
        <v>8.6999999999999993</v>
      </c>
    </row>
    <row r="226" spans="1:14" x14ac:dyDescent="0.15">
      <c r="A226" s="7">
        <v>1.8</v>
      </c>
      <c r="B226" s="7">
        <v>166.9</v>
      </c>
      <c r="C226" s="7">
        <v>89.8</v>
      </c>
      <c r="D226" s="7">
        <v>68.599999999999994</v>
      </c>
      <c r="E226" s="7">
        <v>56.6</v>
      </c>
      <c r="F226" s="7">
        <v>42.8</v>
      </c>
      <c r="G226" s="7">
        <v>34.799999999999997</v>
      </c>
      <c r="H226" s="7">
        <v>31.8</v>
      </c>
      <c r="I226" s="7">
        <v>28</v>
      </c>
      <c r="J226" s="7">
        <v>20.5</v>
      </c>
      <c r="K226" s="7">
        <v>16.899999999999999</v>
      </c>
      <c r="L226" s="7">
        <v>8.85</v>
      </c>
    </row>
    <row r="227" spans="1:14" x14ac:dyDescent="0.15">
      <c r="A227" s="7">
        <v>1.75</v>
      </c>
      <c r="B227" s="7">
        <v>174.2</v>
      </c>
      <c r="C227" s="7">
        <v>94.5</v>
      </c>
      <c r="D227" s="7">
        <v>71.599999999999994</v>
      </c>
      <c r="E227" s="7">
        <v>58.7</v>
      </c>
      <c r="F227" s="7">
        <v>44.2</v>
      </c>
      <c r="G227" s="7">
        <v>35.9</v>
      </c>
      <c r="H227" s="7">
        <v>32.9</v>
      </c>
      <c r="I227" s="7">
        <v>28.8</v>
      </c>
      <c r="J227" s="7">
        <v>20.7</v>
      </c>
      <c r="K227" s="7">
        <v>17.100000000000001</v>
      </c>
      <c r="L227" s="7">
        <v>8.9499999999999993</v>
      </c>
    </row>
    <row r="228" spans="1:14" x14ac:dyDescent="0.15">
      <c r="A228" s="7">
        <v>1.7</v>
      </c>
      <c r="B228" s="7">
        <v>176.4</v>
      </c>
      <c r="C228" s="7">
        <v>98.7</v>
      </c>
      <c r="D228" s="7">
        <v>74.099999999999994</v>
      </c>
      <c r="E228" s="7">
        <v>60.3</v>
      </c>
      <c r="F228" s="7">
        <v>45.4</v>
      </c>
      <c r="G228" s="7">
        <v>36.9</v>
      </c>
      <c r="H228" s="7">
        <v>33.5</v>
      </c>
      <c r="I228" s="7">
        <v>29.3</v>
      </c>
      <c r="J228" s="7">
        <v>20.9</v>
      </c>
      <c r="K228" s="7">
        <v>17.2</v>
      </c>
      <c r="L228" s="7">
        <v>9.0500000000000007</v>
      </c>
    </row>
    <row r="229" spans="1:14" x14ac:dyDescent="0.15">
      <c r="A229" s="7">
        <v>1.67</v>
      </c>
      <c r="B229" s="7">
        <v>179.1</v>
      </c>
      <c r="C229" s="7">
        <v>103</v>
      </c>
      <c r="D229" s="7">
        <v>76.7</v>
      </c>
      <c r="E229" s="7">
        <v>62</v>
      </c>
      <c r="F229" s="7">
        <v>46.7</v>
      </c>
      <c r="G229" s="7">
        <v>37.799999999999997</v>
      </c>
      <c r="H229" s="7">
        <v>33.9</v>
      </c>
      <c r="I229" s="7">
        <v>29.7</v>
      </c>
      <c r="J229" s="7">
        <v>21.1</v>
      </c>
      <c r="K229" s="7">
        <v>17.399999999999999</v>
      </c>
      <c r="L229" s="7">
        <v>9.15</v>
      </c>
    </row>
    <row r="230" spans="1:14" x14ac:dyDescent="0.15">
      <c r="A230" s="7">
        <v>1.6</v>
      </c>
      <c r="B230" s="7">
        <v>181.8</v>
      </c>
      <c r="C230" s="7">
        <v>107.2</v>
      </c>
      <c r="D230" s="7">
        <v>79.099999999999994</v>
      </c>
      <c r="E230" s="7">
        <v>63.3</v>
      </c>
      <c r="F230" s="7">
        <v>47.7</v>
      </c>
      <c r="G230" s="7">
        <v>38.299999999999997</v>
      </c>
      <c r="H230" s="7">
        <v>34.4</v>
      </c>
      <c r="I230" s="7">
        <v>30.1</v>
      </c>
      <c r="J230" s="7">
        <v>21.5</v>
      </c>
      <c r="K230" s="7">
        <v>17.7</v>
      </c>
      <c r="L230" s="7">
        <v>9.3000000000000007</v>
      </c>
    </row>
    <row r="231" spans="1:14" s="29" customFormat="1" x14ac:dyDescent="0.15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</row>
    <row r="232" spans="1:14" x14ac:dyDescent="0.15">
      <c r="A232" s="24" t="s">
        <v>186</v>
      </c>
      <c r="B232" s="24" t="s">
        <v>30</v>
      </c>
      <c r="C232" s="24" t="s">
        <v>145</v>
      </c>
      <c r="D232" s="24" t="s">
        <v>146</v>
      </c>
      <c r="E232" s="24" t="s">
        <v>147</v>
      </c>
      <c r="F232" s="24" t="s">
        <v>148</v>
      </c>
      <c r="G232" s="24" t="s">
        <v>149</v>
      </c>
      <c r="H232" s="24" t="s">
        <v>150</v>
      </c>
      <c r="I232" s="24" t="s">
        <v>46</v>
      </c>
      <c r="J232" s="24" t="s">
        <v>151</v>
      </c>
      <c r="K232" s="24" t="s">
        <v>43</v>
      </c>
      <c r="L232" s="24" t="s">
        <v>44</v>
      </c>
    </row>
    <row r="233" spans="1:14" x14ac:dyDescent="0.15">
      <c r="A233" s="7">
        <v>1.85</v>
      </c>
      <c r="B233" s="7">
        <v>240.3</v>
      </c>
      <c r="C233" s="7">
        <v>193.9</v>
      </c>
      <c r="D233" s="7">
        <v>154.19999999999999</v>
      </c>
      <c r="E233" s="7">
        <v>115.4</v>
      </c>
      <c r="F233" s="7">
        <v>91.8</v>
      </c>
      <c r="G233" s="7">
        <v>74</v>
      </c>
      <c r="H233" s="7">
        <v>62.5</v>
      </c>
      <c r="I233" s="7">
        <v>54.4</v>
      </c>
      <c r="J233" s="7">
        <v>44.3</v>
      </c>
      <c r="K233" s="7">
        <v>37.1</v>
      </c>
      <c r="L233" s="7">
        <v>20</v>
      </c>
    </row>
    <row r="234" spans="1:14" x14ac:dyDescent="0.15">
      <c r="A234" s="7">
        <v>1.8</v>
      </c>
      <c r="B234" s="7">
        <v>258.3</v>
      </c>
      <c r="C234" s="7">
        <v>203.7</v>
      </c>
      <c r="D234" s="7">
        <v>157.1</v>
      </c>
      <c r="E234" s="7">
        <v>121.1</v>
      </c>
      <c r="F234" s="7">
        <v>98.9</v>
      </c>
      <c r="G234" s="7">
        <v>79.5</v>
      </c>
      <c r="H234" s="7">
        <v>67.2</v>
      </c>
      <c r="I234" s="7">
        <v>58.2</v>
      </c>
      <c r="J234" s="7">
        <v>47.3</v>
      </c>
      <c r="K234" s="7">
        <v>39.5</v>
      </c>
      <c r="L234" s="7">
        <v>21.1</v>
      </c>
    </row>
    <row r="235" spans="1:14" x14ac:dyDescent="0.15">
      <c r="A235" s="7">
        <v>1.75</v>
      </c>
      <c r="B235" s="7">
        <v>296.2</v>
      </c>
      <c r="C235" s="7">
        <v>214.3</v>
      </c>
      <c r="D235" s="7">
        <v>163.69999999999999</v>
      </c>
      <c r="E235" s="7">
        <v>125.8</v>
      </c>
      <c r="F235" s="7">
        <v>101.1</v>
      </c>
      <c r="G235" s="7">
        <v>81.2</v>
      </c>
      <c r="H235" s="7">
        <v>68.5</v>
      </c>
      <c r="I235" s="7">
        <v>59.2</v>
      </c>
      <c r="J235" s="7">
        <v>48.1</v>
      </c>
      <c r="K235" s="7">
        <v>40.1</v>
      </c>
      <c r="L235" s="7">
        <v>21.3</v>
      </c>
    </row>
    <row r="236" spans="1:14" x14ac:dyDescent="0.15">
      <c r="A236" s="7">
        <v>1.7</v>
      </c>
      <c r="B236" s="7">
        <v>315.10000000000002</v>
      </c>
      <c r="C236" s="7">
        <v>217.7</v>
      </c>
      <c r="D236" s="7">
        <v>167.1</v>
      </c>
      <c r="E236" s="7">
        <v>128.1</v>
      </c>
      <c r="F236" s="7">
        <v>103.6</v>
      </c>
      <c r="G236" s="7">
        <v>82.9</v>
      </c>
      <c r="H236" s="7">
        <v>69.8</v>
      </c>
      <c r="I236" s="7">
        <v>60.4</v>
      </c>
      <c r="J236" s="7">
        <v>48.8</v>
      </c>
      <c r="K236" s="7">
        <v>40.6</v>
      </c>
      <c r="L236" s="7">
        <v>21.6</v>
      </c>
    </row>
    <row r="237" spans="1:14" x14ac:dyDescent="0.15">
      <c r="A237" s="7">
        <v>1.67</v>
      </c>
      <c r="B237" s="7">
        <v>320.39999999999998</v>
      </c>
      <c r="C237" s="7">
        <v>220.2</v>
      </c>
      <c r="D237" s="7">
        <v>169.6</v>
      </c>
      <c r="E237" s="7">
        <v>128.9</v>
      </c>
      <c r="F237" s="7">
        <v>104.8</v>
      </c>
      <c r="G237" s="7">
        <v>83.9</v>
      </c>
      <c r="H237" s="7">
        <v>70.599999999999994</v>
      </c>
      <c r="I237" s="7">
        <v>61</v>
      </c>
      <c r="J237" s="7">
        <v>49.3</v>
      </c>
      <c r="K237" s="7">
        <v>40.9</v>
      </c>
      <c r="L237" s="7">
        <v>21.7</v>
      </c>
    </row>
    <row r="238" spans="1:14" x14ac:dyDescent="0.15">
      <c r="A238" s="7">
        <v>1.6</v>
      </c>
      <c r="B238" s="7">
        <v>349.4</v>
      </c>
      <c r="C238" s="7">
        <v>234.8</v>
      </c>
      <c r="D238" s="7">
        <v>173.4</v>
      </c>
      <c r="E238" s="7">
        <v>139.19999999999999</v>
      </c>
      <c r="F238" s="7">
        <v>108.1</v>
      </c>
      <c r="G238" s="7">
        <v>86.2</v>
      </c>
      <c r="H238" s="7">
        <v>72.400000000000006</v>
      </c>
      <c r="I238" s="7">
        <v>62.4</v>
      </c>
      <c r="J238" s="7">
        <v>50.3</v>
      </c>
      <c r="K238" s="7">
        <v>41.9</v>
      </c>
      <c r="L238" s="7">
        <v>22.1</v>
      </c>
    </row>
    <row r="239" spans="1:14" s="29" customFormat="1" x14ac:dyDescent="0.15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</row>
    <row r="240" spans="1:14" x14ac:dyDescent="0.15">
      <c r="A240" s="24" t="s">
        <v>187</v>
      </c>
      <c r="B240" s="24" t="s">
        <v>30</v>
      </c>
      <c r="C240" s="24" t="s">
        <v>145</v>
      </c>
      <c r="D240" s="24" t="s">
        <v>146</v>
      </c>
      <c r="E240" s="24" t="s">
        <v>147</v>
      </c>
      <c r="F240" s="24" t="s">
        <v>148</v>
      </c>
      <c r="G240" s="24" t="s">
        <v>149</v>
      </c>
      <c r="H240" s="24" t="s">
        <v>150</v>
      </c>
      <c r="I240" s="24" t="s">
        <v>46</v>
      </c>
      <c r="J240" s="24" t="s">
        <v>151</v>
      </c>
      <c r="K240" s="24" t="s">
        <v>43</v>
      </c>
      <c r="L240" s="24" t="s">
        <v>44</v>
      </c>
    </row>
    <row r="241" spans="1:14" x14ac:dyDescent="0.15">
      <c r="A241" s="7">
        <v>1.85</v>
      </c>
      <c r="B241" s="7">
        <v>369.9</v>
      </c>
      <c r="C241" s="7">
        <v>299.5</v>
      </c>
      <c r="D241" s="7">
        <v>236.9</v>
      </c>
      <c r="E241" s="7">
        <v>177.7</v>
      </c>
      <c r="F241" s="7">
        <v>137.69999999999999</v>
      </c>
      <c r="G241" s="7">
        <v>111</v>
      </c>
      <c r="H241" s="7">
        <v>93.8</v>
      </c>
      <c r="I241" s="7">
        <v>81.599999999999994</v>
      </c>
      <c r="J241" s="7">
        <v>66.400000000000006</v>
      </c>
      <c r="K241" s="7">
        <v>55.6</v>
      </c>
      <c r="L241" s="7">
        <v>30</v>
      </c>
    </row>
    <row r="242" spans="1:14" x14ac:dyDescent="0.15">
      <c r="A242" s="7">
        <v>1.8</v>
      </c>
      <c r="B242" s="7">
        <v>398</v>
      </c>
      <c r="C242" s="7">
        <v>314.5</v>
      </c>
      <c r="D242" s="7">
        <v>241.7</v>
      </c>
      <c r="E242" s="7">
        <v>186.4</v>
      </c>
      <c r="F242" s="7">
        <v>148.4</v>
      </c>
      <c r="G242" s="7">
        <v>119.2</v>
      </c>
      <c r="H242" s="7">
        <v>100.8</v>
      </c>
      <c r="I242" s="7">
        <v>87.3</v>
      </c>
      <c r="J242" s="7">
        <v>71</v>
      </c>
      <c r="K242" s="7">
        <v>59.3</v>
      </c>
      <c r="L242" s="7">
        <v>31.6</v>
      </c>
    </row>
    <row r="243" spans="1:14" x14ac:dyDescent="0.15">
      <c r="A243" s="7">
        <v>1.75</v>
      </c>
      <c r="B243" s="7">
        <v>456.3</v>
      </c>
      <c r="C243" s="7">
        <v>330.4</v>
      </c>
      <c r="D243" s="7">
        <v>251.4</v>
      </c>
      <c r="E243" s="7">
        <v>194.2</v>
      </c>
      <c r="F243" s="7">
        <v>151.69999999999999</v>
      </c>
      <c r="G243" s="7">
        <v>119.7</v>
      </c>
      <c r="H243" s="7">
        <v>102.7</v>
      </c>
      <c r="I243" s="7">
        <v>88.9</v>
      </c>
      <c r="J243" s="7">
        <v>72.099999999999994</v>
      </c>
      <c r="K243" s="7">
        <v>60.1</v>
      </c>
      <c r="L243" s="7">
        <v>32</v>
      </c>
    </row>
    <row r="244" spans="1:14" x14ac:dyDescent="0.15">
      <c r="A244" s="7">
        <v>1.7</v>
      </c>
      <c r="B244" s="7">
        <v>485.4</v>
      </c>
      <c r="C244" s="7">
        <v>335.1</v>
      </c>
      <c r="D244" s="7">
        <v>256.8</v>
      </c>
      <c r="E244" s="7">
        <v>199</v>
      </c>
      <c r="F244" s="7">
        <v>155.4</v>
      </c>
      <c r="G244" s="7">
        <v>121.4</v>
      </c>
      <c r="H244" s="7">
        <v>104.7</v>
      </c>
      <c r="I244" s="7">
        <v>89.5</v>
      </c>
      <c r="J244" s="7">
        <v>73.3</v>
      </c>
      <c r="K244" s="7">
        <v>60.9</v>
      </c>
      <c r="L244" s="7">
        <v>32.299999999999997</v>
      </c>
    </row>
    <row r="245" spans="1:14" x14ac:dyDescent="0.15">
      <c r="A245" s="7">
        <v>1.67</v>
      </c>
      <c r="B245" s="7">
        <v>493.6</v>
      </c>
      <c r="C245" s="7">
        <v>339.3</v>
      </c>
      <c r="D245" s="7">
        <v>260.8</v>
      </c>
      <c r="E245" s="7">
        <v>202.1</v>
      </c>
      <c r="F245" s="7">
        <v>157.30000000000001</v>
      </c>
      <c r="G245" s="7">
        <v>124.8</v>
      </c>
      <c r="H245" s="7">
        <v>105.8</v>
      </c>
      <c r="I245" s="7">
        <v>91.5</v>
      </c>
      <c r="J245" s="7">
        <v>73.900000000000006</v>
      </c>
      <c r="K245" s="7">
        <v>61.4</v>
      </c>
      <c r="L245" s="7">
        <v>32.6</v>
      </c>
    </row>
    <row r="246" spans="1:14" x14ac:dyDescent="0.15">
      <c r="A246" s="7">
        <v>1.6</v>
      </c>
      <c r="B246" s="7">
        <v>524.1</v>
      </c>
      <c r="C246" s="7">
        <v>352.3</v>
      </c>
      <c r="D246" s="7">
        <v>270.10000000000002</v>
      </c>
      <c r="E246" s="7">
        <v>208.9</v>
      </c>
      <c r="F246" s="7">
        <v>162.1</v>
      </c>
      <c r="G246" s="7">
        <v>129.30000000000001</v>
      </c>
      <c r="H246" s="7">
        <v>108.6</v>
      </c>
      <c r="I246" s="7">
        <v>93.6</v>
      </c>
      <c r="J246" s="7">
        <v>75.400000000000006</v>
      </c>
      <c r="K246" s="7">
        <v>62.6</v>
      </c>
      <c r="L246" s="7">
        <v>33.1</v>
      </c>
    </row>
    <row r="247" spans="1:14" s="29" customFormat="1" x14ac:dyDescent="0.15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</row>
    <row r="248" spans="1:14" x14ac:dyDescent="0.15">
      <c r="A248" s="24" t="s">
        <v>188</v>
      </c>
      <c r="B248" s="24" t="s">
        <v>30</v>
      </c>
      <c r="C248" s="24" t="s">
        <v>145</v>
      </c>
      <c r="D248" s="24" t="s">
        <v>146</v>
      </c>
      <c r="E248" s="24" t="s">
        <v>147</v>
      </c>
      <c r="F248" s="24" t="s">
        <v>148</v>
      </c>
      <c r="G248" s="24" t="s">
        <v>149</v>
      </c>
      <c r="H248" s="24" t="s">
        <v>150</v>
      </c>
      <c r="I248" s="24" t="s">
        <v>46</v>
      </c>
      <c r="J248" s="24" t="s">
        <v>151</v>
      </c>
      <c r="K248" s="24" t="s">
        <v>43</v>
      </c>
      <c r="L248" s="24" t="s">
        <v>44</v>
      </c>
    </row>
    <row r="249" spans="1:14" x14ac:dyDescent="0.15">
      <c r="A249" s="7">
        <v>1.85</v>
      </c>
      <c r="B249" s="7">
        <v>480.7</v>
      </c>
      <c r="C249" s="7">
        <v>388.9</v>
      </c>
      <c r="D249" s="7">
        <v>307.5</v>
      </c>
      <c r="E249" s="7">
        <v>230.9</v>
      </c>
      <c r="F249" s="7">
        <v>183.6</v>
      </c>
      <c r="G249" s="7">
        <v>148</v>
      </c>
      <c r="H249" s="7">
        <v>125.1</v>
      </c>
      <c r="I249" s="7">
        <v>108.8</v>
      </c>
      <c r="J249" s="7">
        <v>88.6</v>
      </c>
      <c r="K249" s="7">
        <v>74.2</v>
      </c>
      <c r="L249" s="7">
        <v>40</v>
      </c>
    </row>
    <row r="250" spans="1:14" x14ac:dyDescent="0.15">
      <c r="A250" s="7">
        <v>1.8</v>
      </c>
      <c r="B250" s="7">
        <v>517.6</v>
      </c>
      <c r="C250" s="7">
        <v>408.3</v>
      </c>
      <c r="D250" s="7">
        <v>314.10000000000002</v>
      </c>
      <c r="E250" s="7">
        <v>243.2</v>
      </c>
      <c r="F250" s="7">
        <v>197.8</v>
      </c>
      <c r="G250" s="7">
        <v>159</v>
      </c>
      <c r="H250" s="7">
        <v>134.30000000000001</v>
      </c>
      <c r="I250" s="7">
        <v>116.4</v>
      </c>
      <c r="J250" s="7">
        <v>94.6</v>
      </c>
      <c r="K250" s="7">
        <v>79</v>
      </c>
      <c r="L250" s="7">
        <v>42.1</v>
      </c>
    </row>
    <row r="251" spans="1:14" x14ac:dyDescent="0.15">
      <c r="A251" s="7">
        <v>1.75</v>
      </c>
      <c r="B251" s="7">
        <v>593.29999999999995</v>
      </c>
      <c r="C251" s="7">
        <v>428.7</v>
      </c>
      <c r="D251" s="7">
        <v>326.39999999999998</v>
      </c>
      <c r="E251" s="7">
        <v>252.6</v>
      </c>
      <c r="F251" s="7">
        <v>202.2</v>
      </c>
      <c r="G251" s="7">
        <v>162.30000000000001</v>
      </c>
      <c r="H251" s="7">
        <v>137</v>
      </c>
      <c r="I251" s="7">
        <v>118.5</v>
      </c>
      <c r="J251" s="7">
        <v>96.2</v>
      </c>
      <c r="K251" s="7">
        <v>80.099999999999994</v>
      </c>
      <c r="L251" s="7">
        <v>42.6</v>
      </c>
    </row>
    <row r="252" spans="1:14" x14ac:dyDescent="0.15">
      <c r="A252" s="7">
        <v>1.7</v>
      </c>
      <c r="B252" s="7">
        <v>630.20000000000005</v>
      </c>
      <c r="C252" s="7">
        <v>435.4</v>
      </c>
      <c r="D252" s="7">
        <v>336.4</v>
      </c>
      <c r="E252" s="7">
        <v>254.2</v>
      </c>
      <c r="F252" s="7">
        <v>207.8</v>
      </c>
      <c r="G252" s="7">
        <v>165.8</v>
      </c>
      <c r="H252" s="7">
        <v>139.69999999999999</v>
      </c>
      <c r="I252" s="7">
        <v>120.7</v>
      </c>
      <c r="J252" s="7">
        <v>97.7</v>
      </c>
      <c r="K252" s="7">
        <v>81.3</v>
      </c>
      <c r="L252" s="7">
        <v>43.1</v>
      </c>
    </row>
    <row r="253" spans="1:14" x14ac:dyDescent="0.15">
      <c r="A253" s="7">
        <v>1.67</v>
      </c>
      <c r="B253" s="7">
        <v>641.79999999999995</v>
      </c>
      <c r="C253" s="7">
        <v>439.9</v>
      </c>
      <c r="D253" s="7">
        <v>337.2</v>
      </c>
      <c r="E253" s="7">
        <v>258.60000000000002</v>
      </c>
      <c r="F253" s="7">
        <v>209.7</v>
      </c>
      <c r="G253" s="7">
        <v>167.7</v>
      </c>
      <c r="H253" s="7">
        <v>141.1</v>
      </c>
      <c r="I253" s="7">
        <v>121.9</v>
      </c>
      <c r="J253" s="7">
        <v>98.6</v>
      </c>
      <c r="K253" s="7">
        <v>81.900000000000006</v>
      </c>
      <c r="L253" s="7">
        <v>43.4</v>
      </c>
    </row>
    <row r="254" spans="1:14" x14ac:dyDescent="0.15">
      <c r="A254" s="7">
        <v>1.6</v>
      </c>
      <c r="B254" s="7">
        <v>698.8</v>
      </c>
      <c r="C254" s="7">
        <v>469.8</v>
      </c>
      <c r="D254" s="7">
        <v>346.7</v>
      </c>
      <c r="E254" s="7">
        <v>278.39999999999998</v>
      </c>
      <c r="F254" s="7">
        <v>216.1</v>
      </c>
      <c r="G254" s="7">
        <v>172.4</v>
      </c>
      <c r="H254" s="7">
        <v>144.80000000000001</v>
      </c>
      <c r="I254" s="7">
        <v>124.8</v>
      </c>
      <c r="J254" s="7">
        <v>100.6</v>
      </c>
      <c r="K254" s="7">
        <v>83.4</v>
      </c>
      <c r="L254" s="7">
        <v>44.2</v>
      </c>
    </row>
    <row r="255" spans="1:14" s="29" customFormat="1" x14ac:dyDescent="0.15">
      <c r="A255" s="27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</row>
    <row r="256" spans="1:14" x14ac:dyDescent="0.15">
      <c r="A256" s="24" t="s">
        <v>189</v>
      </c>
      <c r="B256" s="24" t="s">
        <v>30</v>
      </c>
      <c r="C256" s="24" t="s">
        <v>145</v>
      </c>
      <c r="D256" s="24" t="s">
        <v>146</v>
      </c>
      <c r="E256" s="24" t="s">
        <v>147</v>
      </c>
      <c r="F256" s="24" t="s">
        <v>148</v>
      </c>
      <c r="G256" s="24" t="s">
        <v>149</v>
      </c>
      <c r="H256" s="24" t="s">
        <v>150</v>
      </c>
      <c r="I256" s="24" t="s">
        <v>46</v>
      </c>
      <c r="J256" s="24" t="s">
        <v>151</v>
      </c>
      <c r="K256" s="24" t="s">
        <v>43</v>
      </c>
      <c r="L256" s="24" t="s">
        <v>44</v>
      </c>
    </row>
    <row r="257" spans="1:14" x14ac:dyDescent="0.15">
      <c r="A257" s="7">
        <v>1.85</v>
      </c>
      <c r="B257" s="7">
        <v>617.5</v>
      </c>
      <c r="C257" s="7">
        <v>499.4</v>
      </c>
      <c r="D257" s="7">
        <v>395.8</v>
      </c>
      <c r="E257" s="7">
        <v>296.60000000000002</v>
      </c>
      <c r="F257" s="7">
        <v>229.5</v>
      </c>
      <c r="G257" s="7">
        <v>185</v>
      </c>
      <c r="H257" s="7">
        <v>156.4</v>
      </c>
      <c r="I257" s="7">
        <v>136</v>
      </c>
      <c r="J257" s="7">
        <v>110.7</v>
      </c>
      <c r="K257" s="7">
        <v>92.7</v>
      </c>
      <c r="L257" s="7">
        <v>49.9</v>
      </c>
    </row>
    <row r="258" spans="1:14" x14ac:dyDescent="0.15">
      <c r="A258" s="7">
        <v>1.8</v>
      </c>
      <c r="B258" s="7">
        <v>664.2</v>
      </c>
      <c r="C258" s="7">
        <v>524.29999999999995</v>
      </c>
      <c r="D258" s="7">
        <v>403.6</v>
      </c>
      <c r="E258" s="7">
        <v>311.2</v>
      </c>
      <c r="F258" s="7">
        <v>247.3</v>
      </c>
      <c r="G258" s="7">
        <v>198.7</v>
      </c>
      <c r="H258" s="7">
        <v>167.9</v>
      </c>
      <c r="I258" s="7">
        <v>145.5</v>
      </c>
      <c r="J258" s="7">
        <v>118.3</v>
      </c>
      <c r="K258" s="7">
        <v>98.8</v>
      </c>
      <c r="L258" s="7">
        <v>52.6</v>
      </c>
    </row>
    <row r="259" spans="1:14" x14ac:dyDescent="0.15">
      <c r="A259" s="7">
        <v>1.75</v>
      </c>
      <c r="B259" s="7">
        <v>761.5</v>
      </c>
      <c r="C259" s="7">
        <v>551.20000000000005</v>
      </c>
      <c r="D259" s="7">
        <v>420.1</v>
      </c>
      <c r="E259" s="7">
        <v>323.8</v>
      </c>
      <c r="F259" s="7">
        <v>252.8</v>
      </c>
      <c r="G259" s="7">
        <v>202.9</v>
      </c>
      <c r="H259" s="7">
        <v>171.2</v>
      </c>
      <c r="I259" s="7">
        <v>148.1</v>
      </c>
      <c r="J259" s="7">
        <v>120.2</v>
      </c>
      <c r="K259" s="7">
        <v>100.2</v>
      </c>
      <c r="L259" s="7">
        <v>53.3</v>
      </c>
    </row>
    <row r="260" spans="1:14" x14ac:dyDescent="0.15">
      <c r="A260" s="7">
        <v>1.7</v>
      </c>
      <c r="B260" s="7">
        <v>810.1</v>
      </c>
      <c r="C260" s="7">
        <v>559.4</v>
      </c>
      <c r="D260" s="7">
        <v>429</v>
      </c>
      <c r="E260" s="7">
        <v>332.6</v>
      </c>
      <c r="F260" s="7">
        <v>258.89999999999998</v>
      </c>
      <c r="G260" s="7">
        <v>207.3</v>
      </c>
      <c r="H260" s="7">
        <v>174.6</v>
      </c>
      <c r="I260" s="7">
        <v>150.9</v>
      </c>
      <c r="J260" s="7">
        <v>122.1</v>
      </c>
      <c r="K260" s="7">
        <v>101.6</v>
      </c>
      <c r="L260" s="7">
        <v>53.9</v>
      </c>
    </row>
    <row r="261" spans="1:14" x14ac:dyDescent="0.15">
      <c r="A261" s="7">
        <v>1.67</v>
      </c>
      <c r="B261" s="7">
        <v>823.9</v>
      </c>
      <c r="C261" s="7">
        <v>565.79999999999995</v>
      </c>
      <c r="D261" s="7">
        <v>433</v>
      </c>
      <c r="E261" s="7">
        <v>336.1</v>
      </c>
      <c r="F261" s="7">
        <v>262.10000000000002</v>
      </c>
      <c r="G261" s="7">
        <v>209.6</v>
      </c>
      <c r="H261" s="7">
        <v>176.4</v>
      </c>
      <c r="I261" s="7">
        <v>152.4</v>
      </c>
      <c r="J261" s="7">
        <v>123.2</v>
      </c>
      <c r="K261" s="7">
        <v>102.4</v>
      </c>
      <c r="L261" s="7">
        <v>54.3</v>
      </c>
    </row>
    <row r="262" spans="1:14" x14ac:dyDescent="0.15">
      <c r="A262" s="7">
        <v>1.6</v>
      </c>
      <c r="B262" s="7">
        <v>873.5</v>
      </c>
      <c r="C262" s="7">
        <v>587.20000000000005</v>
      </c>
      <c r="D262" s="7">
        <v>433.5</v>
      </c>
      <c r="E262" s="7">
        <v>348.1</v>
      </c>
      <c r="F262" s="7">
        <v>270.2</v>
      </c>
      <c r="G262" s="7">
        <v>215.5</v>
      </c>
      <c r="H262" s="7">
        <v>181</v>
      </c>
      <c r="I262" s="7">
        <v>156.1</v>
      </c>
      <c r="J262" s="7">
        <v>125.7</v>
      </c>
      <c r="K262" s="7">
        <v>104.3</v>
      </c>
      <c r="L262" s="7">
        <v>55.2</v>
      </c>
    </row>
    <row r="263" spans="1:14" s="29" customFormat="1" x14ac:dyDescent="0.15">
      <c r="A263" s="27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</row>
    <row r="264" spans="1:14" x14ac:dyDescent="0.15">
      <c r="A264" s="24" t="s">
        <v>190</v>
      </c>
      <c r="B264" s="24" t="s">
        <v>30</v>
      </c>
      <c r="C264" s="24" t="s">
        <v>145</v>
      </c>
      <c r="D264" s="24" t="s">
        <v>146</v>
      </c>
      <c r="E264" s="24" t="s">
        <v>147</v>
      </c>
      <c r="F264" s="24" t="s">
        <v>148</v>
      </c>
      <c r="G264" s="24" t="s">
        <v>149</v>
      </c>
      <c r="H264" s="24" t="s">
        <v>150</v>
      </c>
      <c r="I264" s="24" t="s">
        <v>46</v>
      </c>
      <c r="J264" s="24" t="s">
        <v>151</v>
      </c>
      <c r="K264" s="24" t="s">
        <v>43</v>
      </c>
      <c r="L264" s="24" t="s">
        <v>44</v>
      </c>
    </row>
    <row r="265" spans="1:14" x14ac:dyDescent="0.15">
      <c r="A265" s="7">
        <v>1.85</v>
      </c>
      <c r="B265" s="7">
        <v>730.8</v>
      </c>
      <c r="C265" s="7">
        <v>507.4</v>
      </c>
      <c r="D265" s="7">
        <v>467.7</v>
      </c>
      <c r="E265" s="7">
        <v>356.6</v>
      </c>
      <c r="F265" s="7">
        <v>275.3</v>
      </c>
      <c r="G265" s="7">
        <v>222</v>
      </c>
      <c r="H265" s="7">
        <v>187.6</v>
      </c>
      <c r="I265" s="7">
        <v>163.1</v>
      </c>
      <c r="J265" s="7">
        <v>132.9</v>
      </c>
      <c r="K265" s="7">
        <v>111.3</v>
      </c>
      <c r="L265" s="7">
        <v>59.9</v>
      </c>
    </row>
    <row r="266" spans="1:14" x14ac:dyDescent="0.15">
      <c r="A266" s="7">
        <v>1.8</v>
      </c>
      <c r="B266" s="7">
        <v>785.4</v>
      </c>
      <c r="C266" s="7">
        <v>617.20000000000005</v>
      </c>
      <c r="D266" s="7">
        <v>477.5</v>
      </c>
      <c r="E266" s="7">
        <v>374.2</v>
      </c>
      <c r="F266" s="7">
        <v>296.7</v>
      </c>
      <c r="G266" s="7">
        <v>238.4</v>
      </c>
      <c r="H266" s="7">
        <v>201.5</v>
      </c>
      <c r="I266" s="7">
        <v>174.5</v>
      </c>
      <c r="J266" s="7">
        <v>142</v>
      </c>
      <c r="K266" s="7">
        <v>118.6</v>
      </c>
      <c r="L266" s="7">
        <v>63.2</v>
      </c>
    </row>
    <row r="267" spans="1:14" x14ac:dyDescent="0.15">
      <c r="A267" s="7">
        <v>1.75</v>
      </c>
      <c r="B267" s="7">
        <v>900.4</v>
      </c>
      <c r="C267" s="7">
        <v>649</v>
      </c>
      <c r="D267" s="7">
        <v>496</v>
      </c>
      <c r="E267" s="7">
        <v>389.8</v>
      </c>
      <c r="F267" s="7">
        <v>303.3</v>
      </c>
      <c r="G267" s="7">
        <v>243.5</v>
      </c>
      <c r="H267" s="7">
        <v>205.4</v>
      </c>
      <c r="I267" s="7">
        <v>177.7</v>
      </c>
      <c r="J267" s="7">
        <v>144.30000000000001</v>
      </c>
      <c r="K267" s="7">
        <v>120.2</v>
      </c>
      <c r="L267" s="7">
        <v>63.9</v>
      </c>
    </row>
    <row r="268" spans="1:14" x14ac:dyDescent="0.15">
      <c r="A268" s="7">
        <v>1.7</v>
      </c>
      <c r="B268" s="7">
        <v>957.9</v>
      </c>
      <c r="C268" s="7">
        <v>658.7</v>
      </c>
      <c r="D268" s="7">
        <v>513.5</v>
      </c>
      <c r="E268" s="7">
        <v>396.5</v>
      </c>
      <c r="F268" s="7">
        <v>310.7</v>
      </c>
      <c r="G268" s="7">
        <v>248.7</v>
      </c>
      <c r="H268" s="7">
        <v>209.5</v>
      </c>
      <c r="I268" s="7">
        <v>181.1</v>
      </c>
      <c r="J268" s="7">
        <v>146.5</v>
      </c>
      <c r="K268" s="7">
        <v>121.9</v>
      </c>
      <c r="L268" s="7">
        <v>64.7</v>
      </c>
    </row>
    <row r="269" spans="1:14" x14ac:dyDescent="0.15">
      <c r="A269" s="7">
        <v>1.67</v>
      </c>
      <c r="B269" s="7">
        <v>974.8</v>
      </c>
      <c r="C269" s="7">
        <v>665.3</v>
      </c>
      <c r="D269" s="7">
        <v>516.29999999999995</v>
      </c>
      <c r="E269" s="7">
        <v>399.6</v>
      </c>
      <c r="F269" s="7">
        <v>314.5</v>
      </c>
      <c r="G269" s="7">
        <v>251.6</v>
      </c>
      <c r="H269" s="7">
        <v>211.7</v>
      </c>
      <c r="I269" s="7">
        <v>182.9</v>
      </c>
      <c r="J269" s="7">
        <v>147.9</v>
      </c>
      <c r="K269" s="7">
        <v>122.8</v>
      </c>
      <c r="L269" s="7">
        <v>65.099999999999994</v>
      </c>
    </row>
    <row r="270" spans="1:14" x14ac:dyDescent="0.15">
      <c r="A270" s="7">
        <v>1.6</v>
      </c>
      <c r="B270" s="7">
        <v>1048.2</v>
      </c>
      <c r="C270" s="7">
        <v>701.1</v>
      </c>
      <c r="D270" s="7">
        <v>520.1</v>
      </c>
      <c r="E270" s="7">
        <v>417.6</v>
      </c>
      <c r="F270" s="7">
        <v>324.2</v>
      </c>
      <c r="G270" s="7">
        <v>258.60000000000002</v>
      </c>
      <c r="H270" s="7">
        <v>217.2</v>
      </c>
      <c r="I270" s="7">
        <v>187.3</v>
      </c>
      <c r="J270" s="7">
        <v>150.9</v>
      </c>
      <c r="K270" s="7">
        <v>125.1</v>
      </c>
      <c r="L270" s="7">
        <v>66.2</v>
      </c>
    </row>
    <row r="271" spans="1:14" s="29" customFormat="1" x14ac:dyDescent="0.15">
      <c r="A271" s="27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</row>
    <row r="272" spans="1:14" x14ac:dyDescent="0.15">
      <c r="A272" s="24" t="s">
        <v>191</v>
      </c>
      <c r="B272" s="24" t="s">
        <v>30</v>
      </c>
      <c r="C272" s="24" t="s">
        <v>145</v>
      </c>
      <c r="D272" s="24" t="s">
        <v>146</v>
      </c>
      <c r="E272" s="24" t="s">
        <v>147</v>
      </c>
      <c r="F272" s="24" t="s">
        <v>148</v>
      </c>
      <c r="G272" s="24" t="s">
        <v>149</v>
      </c>
      <c r="H272" s="24" t="s">
        <v>150</v>
      </c>
      <c r="I272" s="24" t="s">
        <v>46</v>
      </c>
      <c r="J272" s="24" t="s">
        <v>151</v>
      </c>
      <c r="K272" s="24" t="s">
        <v>43</v>
      </c>
      <c r="L272" s="24" t="s">
        <v>44</v>
      </c>
    </row>
    <row r="273" spans="1:14" x14ac:dyDescent="0.15">
      <c r="A273" s="7">
        <v>1.85</v>
      </c>
      <c r="B273" s="7">
        <v>992.2</v>
      </c>
      <c r="C273" s="7">
        <v>801</v>
      </c>
      <c r="D273" s="7">
        <v>635.1</v>
      </c>
      <c r="E273" s="7">
        <v>476.1</v>
      </c>
      <c r="F273" s="7">
        <v>367.1</v>
      </c>
      <c r="G273" s="7">
        <v>296</v>
      </c>
      <c r="H273" s="7">
        <v>250.2</v>
      </c>
      <c r="I273" s="7">
        <v>217.5</v>
      </c>
      <c r="J273" s="7">
        <v>177.2</v>
      </c>
      <c r="K273" s="7">
        <v>148.4</v>
      </c>
      <c r="L273" s="7">
        <v>79.900000000000006</v>
      </c>
    </row>
    <row r="274" spans="1:14" x14ac:dyDescent="0.15">
      <c r="A274" s="7">
        <v>1.8</v>
      </c>
      <c r="B274" s="7">
        <v>1066.4000000000001</v>
      </c>
      <c r="C274" s="7">
        <v>842</v>
      </c>
      <c r="D274" s="7">
        <v>648.79999999999995</v>
      </c>
      <c r="E274" s="7">
        <v>500.5</v>
      </c>
      <c r="F274" s="7">
        <v>395.6</v>
      </c>
      <c r="G274" s="7">
        <v>317.89999999999998</v>
      </c>
      <c r="H274" s="7">
        <v>268.7</v>
      </c>
      <c r="I274" s="7">
        <v>232.7</v>
      </c>
      <c r="J274" s="7">
        <v>189.3</v>
      </c>
      <c r="K274" s="7">
        <v>158.1</v>
      </c>
      <c r="L274" s="7">
        <v>84.2</v>
      </c>
    </row>
    <row r="275" spans="1:14" x14ac:dyDescent="0.15">
      <c r="A275" s="7">
        <v>1.75</v>
      </c>
      <c r="B275" s="7">
        <v>1222.5</v>
      </c>
      <c r="C275" s="7">
        <v>885</v>
      </c>
      <c r="D275" s="7">
        <v>674.2</v>
      </c>
      <c r="E275" s="7">
        <v>520</v>
      </c>
      <c r="F275" s="7">
        <v>404.4</v>
      </c>
      <c r="G275" s="7">
        <v>324.60000000000002</v>
      </c>
      <c r="H275" s="7">
        <v>273.89999999999998</v>
      </c>
      <c r="I275" s="7">
        <v>236.9</v>
      </c>
      <c r="J275" s="7">
        <v>192.4</v>
      </c>
      <c r="K275" s="7">
        <v>160.30000000000001</v>
      </c>
      <c r="L275" s="7">
        <v>85.2</v>
      </c>
    </row>
    <row r="276" spans="1:14" x14ac:dyDescent="0.15">
      <c r="A276" s="7">
        <v>1.7</v>
      </c>
      <c r="B276" s="7">
        <v>1300.5</v>
      </c>
      <c r="C276" s="7">
        <v>898.9</v>
      </c>
      <c r="D276" s="7">
        <v>687.5</v>
      </c>
      <c r="E276" s="7">
        <v>528.79999999999995</v>
      </c>
      <c r="F276" s="7">
        <v>414.3</v>
      </c>
      <c r="G276" s="7">
        <v>331.6</v>
      </c>
      <c r="H276" s="7">
        <v>279.89999999999998</v>
      </c>
      <c r="I276" s="7">
        <v>241.4</v>
      </c>
      <c r="J276" s="7">
        <v>195.4</v>
      </c>
      <c r="K276" s="7">
        <v>162.5</v>
      </c>
      <c r="L276" s="7">
        <v>86.2</v>
      </c>
    </row>
    <row r="277" spans="1:14" x14ac:dyDescent="0.15">
      <c r="A277" s="7">
        <v>1.67</v>
      </c>
      <c r="B277" s="7">
        <v>1322.6</v>
      </c>
      <c r="C277" s="7">
        <v>909.2</v>
      </c>
      <c r="D277" s="7">
        <v>691.3</v>
      </c>
      <c r="E277" s="7">
        <v>538.79999999999995</v>
      </c>
      <c r="F277" s="7">
        <v>419.4</v>
      </c>
      <c r="G277" s="7">
        <v>335.4</v>
      </c>
      <c r="H277" s="7">
        <v>282.2</v>
      </c>
      <c r="I277" s="7">
        <v>243.9</v>
      </c>
      <c r="J277" s="7">
        <v>197.1</v>
      </c>
      <c r="K277" s="7">
        <v>163.80000000000001</v>
      </c>
      <c r="L277" s="7">
        <v>86.8</v>
      </c>
    </row>
    <row r="278" spans="1:14" x14ac:dyDescent="0.15">
      <c r="A278" s="7">
        <v>1.6</v>
      </c>
      <c r="B278" s="7">
        <v>1397.7</v>
      </c>
      <c r="C278" s="7">
        <v>939.4</v>
      </c>
      <c r="D278" s="7">
        <v>693.5</v>
      </c>
      <c r="E278" s="7">
        <v>557.79999999999995</v>
      </c>
      <c r="F278" s="7">
        <v>432.3</v>
      </c>
      <c r="G278" s="7">
        <v>344.8</v>
      </c>
      <c r="H278" s="7">
        <v>289.60000000000002</v>
      </c>
      <c r="I278" s="7">
        <v>249.7</v>
      </c>
      <c r="J278" s="7">
        <v>201.2</v>
      </c>
      <c r="K278" s="7">
        <v>166.8</v>
      </c>
      <c r="L278" s="7">
        <v>88.3</v>
      </c>
    </row>
    <row r="279" spans="1:14" s="29" customFormat="1" x14ac:dyDescent="0.15">
      <c r="A279" s="27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</row>
    <row r="280" spans="1:14" x14ac:dyDescent="0.15">
      <c r="A280" s="24" t="s">
        <v>192</v>
      </c>
      <c r="B280" s="24" t="s">
        <v>30</v>
      </c>
      <c r="C280" s="24" t="s">
        <v>145</v>
      </c>
      <c r="D280" s="24" t="s">
        <v>146</v>
      </c>
      <c r="E280" s="24" t="s">
        <v>147</v>
      </c>
      <c r="F280" s="24" t="s">
        <v>148</v>
      </c>
      <c r="G280" s="24" t="s">
        <v>149</v>
      </c>
      <c r="H280" s="24" t="s">
        <v>150</v>
      </c>
      <c r="I280" s="24" t="s">
        <v>46</v>
      </c>
      <c r="J280" s="24" t="s">
        <v>151</v>
      </c>
      <c r="K280" s="24" t="s">
        <v>43</v>
      </c>
      <c r="L280" s="24" t="s">
        <v>44</v>
      </c>
    </row>
    <row r="281" spans="1:14" x14ac:dyDescent="0.15">
      <c r="A281" s="7">
        <v>1.85</v>
      </c>
      <c r="B281" s="7">
        <v>1225.9000000000001</v>
      </c>
      <c r="C281" s="7">
        <v>990.6</v>
      </c>
      <c r="D281" s="7">
        <v>785.1</v>
      </c>
      <c r="E281" s="7">
        <v>588.29999999999995</v>
      </c>
      <c r="F281" s="7">
        <v>458.9</v>
      </c>
      <c r="G281" s="7">
        <v>370</v>
      </c>
      <c r="H281" s="7">
        <v>312.7</v>
      </c>
      <c r="I281" s="7">
        <v>271.89999999999998</v>
      </c>
      <c r="J281" s="7">
        <v>221.5</v>
      </c>
      <c r="K281" s="7">
        <v>185.4</v>
      </c>
      <c r="L281" s="7">
        <v>99.9</v>
      </c>
    </row>
    <row r="282" spans="1:14" x14ac:dyDescent="0.15">
      <c r="A282" s="7">
        <v>1.8</v>
      </c>
      <c r="B282" s="7">
        <v>1317.5</v>
      </c>
      <c r="C282" s="7">
        <v>1040</v>
      </c>
      <c r="D282" s="7">
        <v>801.5</v>
      </c>
      <c r="E282" s="7">
        <v>618.20000000000005</v>
      </c>
      <c r="F282" s="7">
        <v>494.5</v>
      </c>
      <c r="G282" s="7">
        <v>397.4</v>
      </c>
      <c r="H282" s="7">
        <v>335.8</v>
      </c>
      <c r="I282" s="7">
        <v>290.89999999999998</v>
      </c>
      <c r="J282" s="7">
        <v>236.6</v>
      </c>
      <c r="K282" s="7">
        <v>197.6</v>
      </c>
      <c r="L282" s="7">
        <v>105.3</v>
      </c>
    </row>
    <row r="283" spans="1:14" x14ac:dyDescent="0.15">
      <c r="A283" s="7">
        <v>1.75</v>
      </c>
      <c r="B283" s="7">
        <v>1511.3</v>
      </c>
      <c r="C283" s="7">
        <v>1093.4000000000001</v>
      </c>
      <c r="D283" s="7">
        <v>832.3</v>
      </c>
      <c r="E283" s="7">
        <v>642.29999999999995</v>
      </c>
      <c r="F283" s="7">
        <v>505.5</v>
      </c>
      <c r="G283" s="7">
        <v>405.8</v>
      </c>
      <c r="H283" s="7">
        <v>342.4</v>
      </c>
      <c r="I283" s="7">
        <v>296.2</v>
      </c>
      <c r="J283" s="7">
        <v>240.5</v>
      </c>
      <c r="K283" s="7">
        <v>200.3</v>
      </c>
      <c r="L283" s="7">
        <v>106.6</v>
      </c>
    </row>
    <row r="284" spans="1:14" x14ac:dyDescent="0.15">
      <c r="A284" s="7">
        <v>1.7</v>
      </c>
      <c r="B284" s="7">
        <v>1606.8</v>
      </c>
      <c r="C284" s="7">
        <v>1110.0999999999999</v>
      </c>
      <c r="D284" s="7">
        <v>850</v>
      </c>
      <c r="E284" s="7">
        <v>653.29999999999995</v>
      </c>
      <c r="F284" s="7">
        <v>517.9</v>
      </c>
      <c r="G284" s="7">
        <v>414.6</v>
      </c>
      <c r="H284" s="7">
        <v>349.2</v>
      </c>
      <c r="I284" s="7">
        <v>301.8</v>
      </c>
      <c r="J284" s="7">
        <v>244.2</v>
      </c>
      <c r="K284" s="7">
        <v>203.1</v>
      </c>
      <c r="L284" s="7">
        <v>107.8</v>
      </c>
    </row>
    <row r="285" spans="1:14" x14ac:dyDescent="0.15">
      <c r="A285" s="7">
        <v>1.67</v>
      </c>
      <c r="B285" s="7">
        <v>1635.1</v>
      </c>
      <c r="C285" s="7">
        <v>1123</v>
      </c>
      <c r="D285" s="7">
        <v>862</v>
      </c>
      <c r="E285" s="7">
        <v>658.4</v>
      </c>
      <c r="F285" s="7">
        <v>524.20000000000005</v>
      </c>
      <c r="G285" s="7">
        <v>419.3</v>
      </c>
      <c r="H285" s="7">
        <v>352.8</v>
      </c>
      <c r="I285" s="7">
        <v>304.8</v>
      </c>
      <c r="J285" s="7">
        <v>246.4</v>
      </c>
      <c r="K285" s="7">
        <v>204.7</v>
      </c>
      <c r="L285" s="7">
        <v>108.6</v>
      </c>
    </row>
    <row r="286" spans="1:14" x14ac:dyDescent="0.15">
      <c r="A286" s="7">
        <v>1.6</v>
      </c>
      <c r="B286" s="7">
        <v>1747</v>
      </c>
      <c r="C286" s="7">
        <v>1174.2</v>
      </c>
      <c r="D286" s="7">
        <v>866.9</v>
      </c>
      <c r="E286" s="7">
        <v>696.1</v>
      </c>
      <c r="F286" s="7">
        <v>540.4</v>
      </c>
      <c r="G286" s="7">
        <v>431.1</v>
      </c>
      <c r="H286" s="7">
        <v>362</v>
      </c>
      <c r="I286" s="7">
        <v>312.10000000000002</v>
      </c>
      <c r="J286" s="7">
        <v>251.5</v>
      </c>
      <c r="K286" s="7">
        <v>208.5</v>
      </c>
      <c r="L286" s="7">
        <v>110.4</v>
      </c>
    </row>
    <row r="287" spans="1:14" s="29" customFormat="1" x14ac:dyDescent="0.15">
      <c r="A287" s="27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</row>
    <row r="288" spans="1:14" x14ac:dyDescent="0.15">
      <c r="A288" s="24" t="s">
        <v>193</v>
      </c>
      <c r="B288" s="24" t="s">
        <v>30</v>
      </c>
      <c r="C288" s="24" t="s">
        <v>42</v>
      </c>
      <c r="D288" s="24" t="s">
        <v>31</v>
      </c>
      <c r="E288" s="24" t="s">
        <v>146</v>
      </c>
      <c r="F288" s="24" t="s">
        <v>147</v>
      </c>
      <c r="G288" s="24" t="s">
        <v>148</v>
      </c>
      <c r="H288" s="24" t="s">
        <v>149</v>
      </c>
      <c r="I288" s="24" t="s">
        <v>150</v>
      </c>
      <c r="J288" s="24" t="s">
        <v>46</v>
      </c>
      <c r="K288" s="24" t="s">
        <v>151</v>
      </c>
      <c r="L288" s="24" t="s">
        <v>43</v>
      </c>
      <c r="M288" s="24" t="s">
        <v>44</v>
      </c>
    </row>
    <row r="289" spans="1:14" x14ac:dyDescent="0.15">
      <c r="A289" s="7">
        <v>1.85</v>
      </c>
      <c r="B289" s="7">
        <v>1490.1</v>
      </c>
      <c r="C289" s="7">
        <v>1181.9000000000001</v>
      </c>
      <c r="D289" s="7">
        <v>1037</v>
      </c>
      <c r="E289" s="7">
        <v>799.7</v>
      </c>
      <c r="F289" s="7">
        <v>649.4</v>
      </c>
      <c r="G289" s="7">
        <v>495.6</v>
      </c>
      <c r="H289" s="7">
        <v>399.6</v>
      </c>
      <c r="I289" s="7">
        <v>337.8</v>
      </c>
      <c r="J289" s="7">
        <v>293.7</v>
      </c>
      <c r="K289" s="7">
        <v>265.8</v>
      </c>
      <c r="L289" s="7">
        <v>2222.5</v>
      </c>
      <c r="M289" s="7">
        <v>119.9</v>
      </c>
    </row>
    <row r="290" spans="1:14" x14ac:dyDescent="0.15">
      <c r="A290" s="7">
        <v>1.8</v>
      </c>
      <c r="B290" s="7">
        <v>1670.5</v>
      </c>
      <c r="C290" s="7">
        <v>1311.9</v>
      </c>
      <c r="D290" s="7">
        <v>1139.9000000000001</v>
      </c>
      <c r="E290" s="7">
        <v>870</v>
      </c>
      <c r="F290" s="7">
        <v>703</v>
      </c>
      <c r="G290" s="7">
        <v>534.1</v>
      </c>
      <c r="H290" s="7">
        <v>429.2</v>
      </c>
      <c r="I290" s="7">
        <v>362.7</v>
      </c>
      <c r="J290" s="7">
        <v>314.2</v>
      </c>
      <c r="K290" s="7">
        <v>283.89999999999998</v>
      </c>
      <c r="L290" s="7">
        <v>237.1</v>
      </c>
      <c r="M290" s="7">
        <v>126.4</v>
      </c>
    </row>
    <row r="291" spans="1:14" x14ac:dyDescent="0.15">
      <c r="A291" s="7">
        <v>1.75</v>
      </c>
      <c r="B291" s="7">
        <v>1731.2</v>
      </c>
      <c r="C291" s="7">
        <v>1354.8</v>
      </c>
      <c r="D291" s="7">
        <v>1173.7</v>
      </c>
      <c r="E291" s="7">
        <v>893.8</v>
      </c>
      <c r="F291" s="7">
        <v>720.6</v>
      </c>
      <c r="G291" s="7">
        <v>546</v>
      </c>
      <c r="H291" s="7">
        <v>438.3</v>
      </c>
      <c r="I291" s="7">
        <v>369.8</v>
      </c>
      <c r="J291" s="7">
        <v>319.89999999999998</v>
      </c>
      <c r="K291" s="7">
        <v>288.5</v>
      </c>
      <c r="L291" s="7">
        <v>240.4</v>
      </c>
      <c r="M291" s="7">
        <v>127.9</v>
      </c>
    </row>
    <row r="292" spans="1:14" x14ac:dyDescent="0.15">
      <c r="A292" s="7">
        <v>1.7</v>
      </c>
      <c r="B292" s="7">
        <v>1831.8</v>
      </c>
      <c r="C292" s="7">
        <v>1395.1</v>
      </c>
      <c r="D292" s="7">
        <v>1208.4000000000001</v>
      </c>
      <c r="E292" s="7">
        <v>918.5</v>
      </c>
      <c r="F292" s="7">
        <v>739.7</v>
      </c>
      <c r="G292" s="7">
        <v>559.29999999999995</v>
      </c>
      <c r="H292" s="7">
        <v>447.7</v>
      </c>
      <c r="I292" s="7">
        <v>377.1</v>
      </c>
      <c r="J292" s="7">
        <v>325.89999999999998</v>
      </c>
      <c r="K292" s="7">
        <v>293</v>
      </c>
      <c r="L292" s="7">
        <v>243.8</v>
      </c>
      <c r="M292" s="7">
        <v>129.4</v>
      </c>
    </row>
    <row r="293" spans="1:14" x14ac:dyDescent="0.15">
      <c r="A293" s="7">
        <v>1.67</v>
      </c>
      <c r="B293" s="7">
        <v>1939.6</v>
      </c>
      <c r="C293" s="7">
        <v>1419.3</v>
      </c>
      <c r="D293" s="7">
        <v>1227.8</v>
      </c>
      <c r="E293" s="7">
        <v>931.5</v>
      </c>
      <c r="F293" s="7">
        <v>749.4</v>
      </c>
      <c r="G293" s="7">
        <v>566.20000000000005</v>
      </c>
      <c r="H293" s="7">
        <v>452.8</v>
      </c>
      <c r="I293" s="7">
        <v>381</v>
      </c>
      <c r="J293" s="7">
        <v>329.2</v>
      </c>
      <c r="K293" s="7">
        <v>295.7</v>
      </c>
      <c r="L293" s="7">
        <v>245.7</v>
      </c>
      <c r="M293" s="7">
        <v>130.30000000000001</v>
      </c>
    </row>
    <row r="294" spans="1:14" x14ac:dyDescent="0.15">
      <c r="A294" s="7">
        <v>1.6</v>
      </c>
      <c r="B294" s="7">
        <v>1945</v>
      </c>
      <c r="C294" s="7">
        <v>1476.9</v>
      </c>
      <c r="D294" s="7">
        <v>1275.4000000000001</v>
      </c>
      <c r="E294" s="7">
        <v>965.1</v>
      </c>
      <c r="F294" s="7">
        <v>774.9</v>
      </c>
      <c r="G294" s="7">
        <v>583.6</v>
      </c>
      <c r="H294" s="7">
        <v>465.5</v>
      </c>
      <c r="I294" s="7">
        <v>390.9</v>
      </c>
      <c r="J294" s="7">
        <v>337.1</v>
      </c>
      <c r="K294" s="7">
        <v>301.8</v>
      </c>
      <c r="L294" s="7">
        <v>250.2</v>
      </c>
      <c r="M294" s="7">
        <v>132.5</v>
      </c>
    </row>
    <row r="295" spans="1:14" s="29" customFormat="1" x14ac:dyDescent="0.15">
      <c r="A295" s="27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</row>
    <row r="296" spans="1:14" x14ac:dyDescent="0.15">
      <c r="A296" s="24" t="s">
        <v>194</v>
      </c>
      <c r="B296" s="24" t="s">
        <v>30</v>
      </c>
      <c r="C296" s="24" t="s">
        <v>42</v>
      </c>
      <c r="D296" s="24" t="s">
        <v>31</v>
      </c>
      <c r="E296" s="24" t="s">
        <v>146</v>
      </c>
      <c r="F296" s="24" t="s">
        <v>147</v>
      </c>
      <c r="G296" s="24" t="s">
        <v>148</v>
      </c>
      <c r="H296" s="24" t="s">
        <v>149</v>
      </c>
      <c r="I296" s="24" t="s">
        <v>150</v>
      </c>
      <c r="J296" s="24" t="s">
        <v>46</v>
      </c>
      <c r="K296" s="24" t="s">
        <v>151</v>
      </c>
      <c r="L296" s="24" t="s">
        <v>43</v>
      </c>
      <c r="M296" s="24" t="s">
        <v>44</v>
      </c>
    </row>
    <row r="297" spans="1:14" x14ac:dyDescent="0.15">
      <c r="A297" s="7">
        <v>1.85</v>
      </c>
      <c r="B297" s="7">
        <v>1735.3</v>
      </c>
      <c r="C297" s="7">
        <v>1608.8</v>
      </c>
      <c r="D297" s="7">
        <v>1440.3</v>
      </c>
      <c r="E297" s="7">
        <v>1110.7</v>
      </c>
      <c r="F297" s="7">
        <v>901.9</v>
      </c>
      <c r="G297" s="7">
        <v>688.4</v>
      </c>
      <c r="H297" s="7">
        <v>555</v>
      </c>
      <c r="I297" s="7">
        <v>469.1</v>
      </c>
      <c r="J297" s="7">
        <v>407.9</v>
      </c>
      <c r="K297" s="7">
        <v>332.2</v>
      </c>
      <c r="L297" s="7">
        <v>278.2</v>
      </c>
      <c r="M297" s="7">
        <v>149.80000000000001</v>
      </c>
    </row>
    <row r="298" spans="1:14" x14ac:dyDescent="0.15">
      <c r="A298" s="7">
        <v>1.8</v>
      </c>
      <c r="B298" s="7">
        <v>1976</v>
      </c>
      <c r="C298" s="7">
        <v>1748</v>
      </c>
      <c r="D298" s="7">
        <v>1574.5</v>
      </c>
      <c r="E298" s="7">
        <v>1208.3</v>
      </c>
      <c r="F298" s="7">
        <v>976.4</v>
      </c>
      <c r="G298" s="7">
        <v>734.9</v>
      </c>
      <c r="H298" s="7">
        <v>596.1</v>
      </c>
      <c r="I298" s="7">
        <v>503.8</v>
      </c>
      <c r="J298" s="7">
        <v>436.4</v>
      </c>
      <c r="K298" s="7">
        <v>354.9</v>
      </c>
      <c r="L298" s="7">
        <v>296.39999999999998</v>
      </c>
      <c r="M298" s="7">
        <v>157.9</v>
      </c>
    </row>
    <row r="299" spans="1:14" x14ac:dyDescent="0.15">
      <c r="A299" s="7">
        <v>1.75</v>
      </c>
      <c r="B299" s="7">
        <v>2049.6</v>
      </c>
      <c r="C299" s="7">
        <v>1769.1</v>
      </c>
      <c r="D299" s="7">
        <v>1589.9</v>
      </c>
      <c r="E299" s="7">
        <v>1241.4000000000001</v>
      </c>
      <c r="F299" s="7">
        <v>1000.8</v>
      </c>
      <c r="G299" s="7">
        <v>758.3</v>
      </c>
      <c r="H299" s="7">
        <v>608.70000000000005</v>
      </c>
      <c r="I299" s="7">
        <v>513.6</v>
      </c>
      <c r="J299" s="7">
        <v>444.3</v>
      </c>
      <c r="K299" s="7">
        <v>360.7</v>
      </c>
      <c r="L299" s="7">
        <v>300.5</v>
      </c>
      <c r="M299" s="7">
        <v>159.80000000000001</v>
      </c>
    </row>
    <row r="300" spans="1:14" x14ac:dyDescent="0.15">
      <c r="A300" s="7">
        <v>1.7</v>
      </c>
      <c r="B300" s="7">
        <v>2161.6999999999998</v>
      </c>
      <c r="C300" s="7">
        <v>1856.6</v>
      </c>
      <c r="D300" s="7">
        <v>1641.3</v>
      </c>
      <c r="E300" s="7">
        <v>1275.7</v>
      </c>
      <c r="F300" s="7">
        <v>1027.4000000000001</v>
      </c>
      <c r="G300" s="7">
        <v>776.8</v>
      </c>
      <c r="H300" s="7">
        <v>621.79999999999995</v>
      </c>
      <c r="I300" s="7">
        <v>523.79999999999995</v>
      </c>
      <c r="J300" s="7">
        <v>452.7</v>
      </c>
      <c r="K300" s="7">
        <v>366.3</v>
      </c>
      <c r="L300" s="7">
        <v>304.7</v>
      </c>
      <c r="M300" s="7">
        <v>161.69999999999999</v>
      </c>
    </row>
    <row r="301" spans="1:14" x14ac:dyDescent="0.15">
      <c r="A301" s="7">
        <v>1.67</v>
      </c>
      <c r="B301" s="7">
        <v>2199.8000000000002</v>
      </c>
      <c r="C301" s="7">
        <v>1946.7</v>
      </c>
      <c r="D301" s="7">
        <v>1692</v>
      </c>
      <c r="E301" s="7">
        <v>1293.8</v>
      </c>
      <c r="F301" s="7">
        <v>1040.9000000000001</v>
      </c>
      <c r="G301" s="7">
        <v>786.4</v>
      </c>
      <c r="H301" s="7">
        <v>628.9</v>
      </c>
      <c r="I301" s="7">
        <v>529.20000000000005</v>
      </c>
      <c r="J301" s="7">
        <v>457.3</v>
      </c>
      <c r="K301" s="7">
        <v>369.6</v>
      </c>
      <c r="L301" s="7">
        <v>307.10000000000002</v>
      </c>
      <c r="M301" s="7">
        <v>162.80000000000001</v>
      </c>
    </row>
    <row r="302" spans="1:14" x14ac:dyDescent="0.15">
      <c r="A302" s="7">
        <v>1.6</v>
      </c>
      <c r="B302" s="7">
        <v>2221.1</v>
      </c>
      <c r="C302" s="7">
        <v>2010.2</v>
      </c>
      <c r="D302" s="7">
        <v>1737.6</v>
      </c>
      <c r="E302" s="7">
        <v>1340.4</v>
      </c>
      <c r="F302" s="7">
        <v>1076.3</v>
      </c>
      <c r="G302" s="7">
        <v>810.5</v>
      </c>
      <c r="H302" s="7">
        <v>646.6</v>
      </c>
      <c r="I302" s="7">
        <v>543</v>
      </c>
      <c r="J302" s="7">
        <v>468.2</v>
      </c>
      <c r="K302" s="7">
        <v>377.2</v>
      </c>
      <c r="L302" s="7">
        <v>312.8</v>
      </c>
      <c r="M302" s="7">
        <v>165.6</v>
      </c>
    </row>
    <row r="303" spans="1:14" s="29" customFormat="1" x14ac:dyDescent="0.15">
      <c r="A303" s="27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</row>
    <row r="304" spans="1:14" x14ac:dyDescent="0.15">
      <c r="A304" s="24" t="s">
        <v>195</v>
      </c>
      <c r="B304" s="24" t="s">
        <v>30</v>
      </c>
      <c r="C304" s="24" t="s">
        <v>42</v>
      </c>
      <c r="D304" s="24" t="s">
        <v>31</v>
      </c>
      <c r="E304" s="24" t="s">
        <v>146</v>
      </c>
      <c r="F304" s="24" t="s">
        <v>147</v>
      </c>
      <c r="G304" s="24" t="s">
        <v>148</v>
      </c>
      <c r="H304" s="24" t="s">
        <v>149</v>
      </c>
      <c r="I304" s="24" t="s">
        <v>150</v>
      </c>
      <c r="J304" s="24" t="s">
        <v>46</v>
      </c>
      <c r="K304" s="24" t="s">
        <v>151</v>
      </c>
      <c r="L304" s="24" t="s">
        <v>43</v>
      </c>
      <c r="M304" s="24" t="s">
        <v>44</v>
      </c>
    </row>
    <row r="305" spans="1:14" x14ac:dyDescent="0.15">
      <c r="A305" s="7">
        <v>1.85</v>
      </c>
      <c r="B305" s="7">
        <v>2313.9</v>
      </c>
      <c r="C305" s="7">
        <v>2134.1</v>
      </c>
      <c r="D305" s="7">
        <v>1872.4</v>
      </c>
      <c r="E305" s="7">
        <v>1481</v>
      </c>
      <c r="F305" s="7">
        <v>1202.5999999999999</v>
      </c>
      <c r="G305" s="7">
        <v>917.8</v>
      </c>
      <c r="H305" s="7">
        <v>739.9</v>
      </c>
      <c r="I305" s="7">
        <v>625.5</v>
      </c>
      <c r="J305" s="7">
        <v>543.79999999999995</v>
      </c>
      <c r="K305" s="7">
        <v>442.9</v>
      </c>
      <c r="L305" s="7">
        <v>370.9</v>
      </c>
      <c r="M305" s="7">
        <v>199.8</v>
      </c>
    </row>
    <row r="306" spans="1:14" x14ac:dyDescent="0.15">
      <c r="A306" s="7">
        <v>1.8</v>
      </c>
      <c r="B306" s="7">
        <v>2634.7</v>
      </c>
      <c r="C306" s="7">
        <v>2368.8000000000002</v>
      </c>
      <c r="D306" s="7">
        <v>2058.1999999999998</v>
      </c>
      <c r="E306" s="7">
        <v>1611.1</v>
      </c>
      <c r="F306" s="7">
        <v>1301.8</v>
      </c>
      <c r="G306" s="7">
        <v>989</v>
      </c>
      <c r="H306" s="7">
        <v>794.8</v>
      </c>
      <c r="I306" s="7">
        <v>671.7</v>
      </c>
      <c r="J306" s="7">
        <v>581.79999999999995</v>
      </c>
      <c r="K306" s="7">
        <v>473.2</v>
      </c>
      <c r="L306" s="7">
        <v>395.2</v>
      </c>
      <c r="M306" s="7">
        <v>210.6</v>
      </c>
    </row>
    <row r="307" spans="1:14" x14ac:dyDescent="0.15">
      <c r="A307" s="7">
        <v>1.75</v>
      </c>
      <c r="B307" s="7">
        <v>2732.8</v>
      </c>
      <c r="C307" s="7">
        <v>2446.1</v>
      </c>
      <c r="D307" s="7">
        <v>2119.1999999999998</v>
      </c>
      <c r="E307" s="7">
        <v>1655.1</v>
      </c>
      <c r="F307" s="7">
        <v>1334.4</v>
      </c>
      <c r="G307" s="7">
        <v>1011</v>
      </c>
      <c r="H307" s="7">
        <v>811.6</v>
      </c>
      <c r="I307" s="7">
        <v>684.8</v>
      </c>
      <c r="J307" s="7">
        <v>592.29999999999995</v>
      </c>
      <c r="K307" s="7">
        <v>480.9</v>
      </c>
      <c r="L307" s="7">
        <v>400.7</v>
      </c>
      <c r="M307" s="7">
        <v>213.1</v>
      </c>
    </row>
    <row r="308" spans="1:14" x14ac:dyDescent="0.15">
      <c r="A308" s="7">
        <v>1.7</v>
      </c>
      <c r="B308" s="7">
        <v>2882.4</v>
      </c>
      <c r="C308" s="7">
        <v>2519</v>
      </c>
      <c r="D308" s="7">
        <v>2181.9</v>
      </c>
      <c r="E308" s="7">
        <v>1700.9</v>
      </c>
      <c r="F308" s="7">
        <v>1369.8</v>
      </c>
      <c r="G308" s="7">
        <v>1035.8</v>
      </c>
      <c r="H308" s="7">
        <v>829.1</v>
      </c>
      <c r="I308" s="7">
        <v>698.4</v>
      </c>
      <c r="J308" s="7">
        <v>603.6</v>
      </c>
      <c r="K308" s="7">
        <v>488.4</v>
      </c>
      <c r="L308" s="7">
        <v>406.3</v>
      </c>
      <c r="M308" s="7">
        <v>215.6</v>
      </c>
    </row>
    <row r="309" spans="1:14" x14ac:dyDescent="0.15">
      <c r="A309" s="7">
        <v>1.67</v>
      </c>
      <c r="B309" s="7">
        <v>2933.1</v>
      </c>
      <c r="C309" s="7">
        <v>2562.6999999999998</v>
      </c>
      <c r="D309" s="7">
        <v>2216.8000000000002</v>
      </c>
      <c r="E309" s="7">
        <v>1725</v>
      </c>
      <c r="F309" s="7">
        <v>1387.8</v>
      </c>
      <c r="G309" s="7">
        <v>1048.5</v>
      </c>
      <c r="H309" s="7">
        <v>838.6</v>
      </c>
      <c r="I309" s="7">
        <v>705.5</v>
      </c>
      <c r="J309" s="7">
        <v>609.70000000000005</v>
      </c>
      <c r="K309" s="7">
        <v>492.8</v>
      </c>
      <c r="L309" s="7">
        <v>409.4</v>
      </c>
      <c r="M309" s="7">
        <v>217.1</v>
      </c>
    </row>
    <row r="310" spans="1:14" x14ac:dyDescent="0.15">
      <c r="A310" s="7">
        <v>1.6</v>
      </c>
      <c r="B310" s="7">
        <v>2961.5</v>
      </c>
      <c r="C310" s="7">
        <v>2666.6</v>
      </c>
      <c r="D310" s="7">
        <v>2302.8000000000002</v>
      </c>
      <c r="E310" s="7">
        <v>1787.1</v>
      </c>
      <c r="F310" s="7">
        <v>1435.1</v>
      </c>
      <c r="G310" s="7">
        <v>1080.7</v>
      </c>
      <c r="H310" s="7">
        <v>862.1</v>
      </c>
      <c r="I310" s="7">
        <v>724</v>
      </c>
      <c r="J310" s="7">
        <v>624.20000000000005</v>
      </c>
      <c r="K310" s="7">
        <v>502.9</v>
      </c>
      <c r="L310" s="7">
        <v>417</v>
      </c>
      <c r="M310" s="7">
        <v>220.8</v>
      </c>
    </row>
    <row r="312" spans="1:14" x14ac:dyDescent="0.15">
      <c r="A312" s="24" t="s">
        <v>212</v>
      </c>
      <c r="B312" s="24" t="s">
        <v>30</v>
      </c>
      <c r="C312" s="24" t="s">
        <v>42</v>
      </c>
      <c r="D312" s="24" t="s">
        <v>31</v>
      </c>
      <c r="E312" s="24" t="s">
        <v>146</v>
      </c>
      <c r="F312" s="24" t="s">
        <v>147</v>
      </c>
      <c r="G312" s="24" t="s">
        <v>148</v>
      </c>
      <c r="H312" s="24" t="s">
        <v>149</v>
      </c>
      <c r="I312" s="24" t="s">
        <v>150</v>
      </c>
      <c r="J312" s="24" t="s">
        <v>46</v>
      </c>
      <c r="K312" s="24" t="s">
        <v>151</v>
      </c>
      <c r="L312" s="24" t="s">
        <v>43</v>
      </c>
      <c r="M312" s="24" t="s">
        <v>44</v>
      </c>
    </row>
    <row r="313" spans="1:14" x14ac:dyDescent="0.15">
      <c r="A313" s="7">
        <v>1.85</v>
      </c>
      <c r="B313" s="7">
        <v>3470.8</v>
      </c>
      <c r="C313" s="7">
        <v>3217.5</v>
      </c>
      <c r="D313" s="7">
        <v>2880.6</v>
      </c>
      <c r="E313" s="7">
        <v>2221.5</v>
      </c>
      <c r="F313" s="7">
        <v>1803.9</v>
      </c>
      <c r="G313" s="7">
        <v>1376.7</v>
      </c>
      <c r="H313" s="7">
        <v>1109.9000000000001</v>
      </c>
      <c r="I313" s="7">
        <v>938.2</v>
      </c>
      <c r="J313" s="7">
        <v>815.7</v>
      </c>
      <c r="K313" s="7">
        <v>664.4</v>
      </c>
      <c r="L313" s="7">
        <v>556.29999999999995</v>
      </c>
      <c r="M313" s="7">
        <v>299.60000000000002</v>
      </c>
    </row>
    <row r="314" spans="1:14" x14ac:dyDescent="0.15">
      <c r="A314" s="7">
        <v>1.8</v>
      </c>
      <c r="B314" s="7">
        <v>3952.1</v>
      </c>
      <c r="C314" s="7">
        <v>3496</v>
      </c>
      <c r="D314" s="7">
        <v>3149</v>
      </c>
      <c r="E314" s="7">
        <v>2416.6999999999998</v>
      </c>
      <c r="F314" s="7">
        <v>1952.7</v>
      </c>
      <c r="G314" s="7">
        <v>1469.8</v>
      </c>
      <c r="H314" s="7">
        <v>1192.2</v>
      </c>
      <c r="I314" s="7">
        <v>1007.5</v>
      </c>
      <c r="J314" s="7">
        <v>872.7</v>
      </c>
      <c r="K314" s="7">
        <v>709.9</v>
      </c>
      <c r="L314" s="7">
        <v>592.79999999999995</v>
      </c>
      <c r="M314" s="7">
        <v>315.89999999999998</v>
      </c>
    </row>
    <row r="315" spans="1:14" x14ac:dyDescent="0.15">
      <c r="A315" s="7">
        <v>1.75</v>
      </c>
      <c r="B315" s="7">
        <v>4099.3</v>
      </c>
      <c r="C315" s="7">
        <v>3538.3</v>
      </c>
      <c r="D315" s="7">
        <v>3179.8</v>
      </c>
      <c r="E315" s="7">
        <v>2482.6999999999998</v>
      </c>
      <c r="F315" s="7">
        <v>2001.5</v>
      </c>
      <c r="G315" s="7">
        <v>1516.6</v>
      </c>
      <c r="H315" s="7">
        <v>1217.4000000000001</v>
      </c>
      <c r="I315" s="7">
        <v>1027.2</v>
      </c>
      <c r="J315" s="7">
        <v>888.5</v>
      </c>
      <c r="K315" s="7">
        <v>721.4</v>
      </c>
      <c r="L315" s="7">
        <v>601</v>
      </c>
      <c r="M315" s="7">
        <v>319.7</v>
      </c>
    </row>
    <row r="316" spans="1:14" x14ac:dyDescent="0.15">
      <c r="A316" s="7">
        <v>1.7</v>
      </c>
      <c r="B316" s="7">
        <v>4323.6000000000004</v>
      </c>
      <c r="C316" s="7">
        <v>3713.2</v>
      </c>
      <c r="D316" s="7">
        <v>3282.5</v>
      </c>
      <c r="E316" s="7">
        <v>2551.3000000000002</v>
      </c>
      <c r="F316" s="7">
        <v>2054.6999999999998</v>
      </c>
      <c r="G316" s="7">
        <v>1553.7</v>
      </c>
      <c r="H316" s="7">
        <v>1243.7</v>
      </c>
      <c r="I316" s="7">
        <v>1047.5999999999999</v>
      </c>
      <c r="J316" s="7">
        <v>905.4</v>
      </c>
      <c r="K316" s="7">
        <v>732.6</v>
      </c>
      <c r="L316" s="7">
        <v>609.4</v>
      </c>
      <c r="M316" s="7">
        <v>323.39999999999998</v>
      </c>
    </row>
    <row r="317" spans="1:14" x14ac:dyDescent="0.15">
      <c r="A317" s="7">
        <v>1.67</v>
      </c>
      <c r="B317" s="7">
        <v>4399.6000000000004</v>
      </c>
      <c r="C317" s="7">
        <v>3893.3</v>
      </c>
      <c r="D317" s="7">
        <v>3384</v>
      </c>
      <c r="E317" s="7">
        <v>2587.5</v>
      </c>
      <c r="F317" s="7">
        <v>2081.6999999999998</v>
      </c>
      <c r="G317" s="7">
        <v>1572.7</v>
      </c>
      <c r="H317" s="7">
        <v>1257.9000000000001</v>
      </c>
      <c r="I317" s="7">
        <v>1058.3</v>
      </c>
      <c r="J317" s="7">
        <v>914.5</v>
      </c>
      <c r="K317" s="7">
        <v>739.3</v>
      </c>
      <c r="L317" s="7">
        <v>614.1</v>
      </c>
      <c r="M317" s="7">
        <v>325.7</v>
      </c>
    </row>
    <row r="318" spans="1:14" x14ac:dyDescent="0.15">
      <c r="A318" s="7">
        <v>1.6</v>
      </c>
      <c r="B318" s="7">
        <v>4442.3</v>
      </c>
      <c r="C318" s="7">
        <v>4020.4</v>
      </c>
      <c r="D318" s="7">
        <v>3475.2</v>
      </c>
      <c r="E318" s="7">
        <v>2680.7</v>
      </c>
      <c r="F318" s="7">
        <v>2152.6</v>
      </c>
      <c r="G318" s="7">
        <v>1621.1</v>
      </c>
      <c r="H318" s="7">
        <v>1293.2</v>
      </c>
      <c r="I318" s="7">
        <v>1086</v>
      </c>
      <c r="J318" s="7">
        <v>936.3</v>
      </c>
      <c r="K318" s="7">
        <v>754.4</v>
      </c>
      <c r="L318" s="7">
        <v>625.5</v>
      </c>
      <c r="M318" s="7">
        <v>331.1</v>
      </c>
    </row>
    <row r="319" spans="1:14" s="29" customFormat="1" x14ac:dyDescent="0.15">
      <c r="A319" s="27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</row>
  </sheetData>
  <phoneticPr fontId="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E691E2-B1C7-4753-A342-7680FE0C28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92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12V电池选型</vt:lpstr>
      <vt:lpstr>2V电池选型</vt:lpstr>
      <vt:lpstr>UPS</vt:lpstr>
      <vt:lpstr>断路器</vt:lpstr>
      <vt:lpstr>数据表</vt:lpstr>
    </vt:vector>
  </TitlesOfParts>
  <Company>Microsoft 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黄锡元</dc:creator>
  <cp:lastModifiedBy>川川 陈</cp:lastModifiedBy>
  <cp:lastPrinted>2023-02-03T01:22:53Z</cp:lastPrinted>
  <dcterms:created xsi:type="dcterms:W3CDTF">2005-07-03T07:06:49Z</dcterms:created>
  <dcterms:modified xsi:type="dcterms:W3CDTF">2026-04-29T08:40:10Z</dcterms:modified>
</cp:coreProperties>
</file>