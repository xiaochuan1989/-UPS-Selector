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zhaoshengwei\Desktop\"/>
    </mc:Choice>
  </mc:AlternateContent>
  <xr:revisionPtr revIDLastSave="0" documentId="13_ncr:1_{8DE4F80E-5162-4B22-AFAC-131F9F0F8BE5}" xr6:coauthVersionLast="47" xr6:coauthVersionMax="47" xr10:uidLastSave="{00000000-0000-0000-0000-000000000000}"/>
  <bookViews>
    <workbookView xWindow="14400" yWindow="0" windowWidth="14400" windowHeight="15600" activeTab="8" xr2:uid="{00000000-000D-0000-FFFF-FFFF00000000}"/>
  </bookViews>
  <sheets>
    <sheet name="太行UR" sheetId="3" r:id="rId1"/>
    <sheet name="UR泰尔" sheetId="9" r:id="rId2"/>
    <sheet name="昆仑UE" sheetId="4" r:id="rId3"/>
    <sheet name="UE泰尔" sheetId="10" r:id="rId4"/>
    <sheet name="祁连UM" sheetId="2" r:id="rId5"/>
    <sheet name="UM泰尔" sheetId="11" r:id="rId6"/>
    <sheet name="泰山UT" sheetId="5" r:id="rId7"/>
    <sheet name="UT泰尔" sheetId="12" r:id="rId8"/>
    <sheet name="电池泰尔" sheetId="13" r:id="rId9"/>
    <sheet name="配置计算公式" sheetId="8" r:id="rId10"/>
  </sheets>
  <calcPr calcId="181029" iterate="1"/>
</workbook>
</file>

<file path=xl/calcChain.xml><?xml version="1.0" encoding="utf-8"?>
<calcChain xmlns="http://schemas.openxmlformats.org/spreadsheetml/2006/main">
  <c r="F6" i="8" l="1"/>
  <c r="H6" i="8" s="1"/>
  <c r="G31" i="8"/>
  <c r="H31" i="8" s="1"/>
  <c r="G30" i="8"/>
  <c r="I30" i="8" s="1"/>
  <c r="G29" i="8"/>
  <c r="M29" i="8" s="1"/>
  <c r="P10" i="8"/>
  <c r="F10" i="8"/>
  <c r="H10" i="8" s="1"/>
  <c r="P9" i="8"/>
  <c r="F9" i="8"/>
  <c r="H9" i="8" s="1"/>
  <c r="P8" i="8"/>
  <c r="F8" i="8"/>
  <c r="H8" i="8" s="1"/>
  <c r="P7" i="8"/>
  <c r="F7" i="8"/>
  <c r="H7" i="8" s="1"/>
  <c r="P6" i="8"/>
  <c r="P5" i="8"/>
  <c r="F5" i="8"/>
  <c r="H5" i="8" s="1"/>
  <c r="P4" i="8"/>
  <c r="F4" i="8"/>
  <c r="H4" i="8" s="1"/>
  <c r="P3" i="8"/>
  <c r="F3" i="8"/>
  <c r="H3" i="8" s="1"/>
  <c r="K30" i="8" l="1"/>
  <c r="L30" i="8"/>
  <c r="J30" i="8"/>
  <c r="M30" i="8"/>
  <c r="I29" i="8"/>
  <c r="J29" i="8"/>
  <c r="L29" i="8"/>
  <c r="K29" i="8"/>
  <c r="M31" i="8"/>
  <c r="K31" i="8"/>
  <c r="L31" i="8"/>
  <c r="J31" i="8"/>
  <c r="I31" i="8"/>
  <c r="H30" i="8"/>
  <c r="H29" i="8"/>
</calcChain>
</file>

<file path=xl/sharedStrings.xml><?xml version="1.0" encoding="utf-8"?>
<sst xmlns="http://schemas.openxmlformats.org/spreadsheetml/2006/main" count="4878" uniqueCount="911">
  <si>
    <t>序号</t>
  </si>
  <si>
    <t>型号</t>
  </si>
  <si>
    <t>描述</t>
  </si>
  <si>
    <t>LBS</t>
  </si>
  <si>
    <t>电池</t>
  </si>
  <si>
    <t>冷启动</t>
  </si>
  <si>
    <t>主旁不同源</t>
  </si>
  <si>
    <t>显示屏</t>
  </si>
  <si>
    <t>通讯</t>
  </si>
  <si>
    <t>安装</t>
  </si>
  <si>
    <t>开关品牌</t>
  </si>
  <si>
    <t>备注</t>
  </si>
  <si>
    <t>昆仑UE-0200TAL-1</t>
  </si>
  <si>
    <t>无</t>
  </si>
  <si>
    <r>
      <rPr>
        <sz val="11"/>
        <color rgb="FFFF0000"/>
        <rFont val="微软雅黑"/>
        <family val="2"/>
        <charset val="134"/>
      </rPr>
      <t>32</t>
    </r>
    <r>
      <rPr>
        <sz val="11"/>
        <color theme="1"/>
        <rFont val="微软雅黑"/>
        <family val="2"/>
        <charset val="134"/>
      </rPr>
      <t>-40</t>
    </r>
  </si>
  <si>
    <t>否</t>
  </si>
  <si>
    <t>良信</t>
  </si>
  <si>
    <t>昆仑UE-0300TAL-1</t>
  </si>
  <si>
    <t>昆仑UE-0400TAL-1</t>
  </si>
  <si>
    <t>有</t>
  </si>
  <si>
    <t>昆仑UE-0600TAL-1</t>
  </si>
  <si>
    <t>昆仑UE-0800TAL-1</t>
  </si>
  <si>
    <t>昆仑UE-1200TAL-1</t>
  </si>
  <si>
    <t>昆仑UE-1600TAL-1</t>
  </si>
  <si>
    <t>溯高美</t>
  </si>
  <si>
    <t>模块数量</t>
  </si>
  <si>
    <t>塔式机架式兼容</t>
  </si>
  <si>
    <t>祁连UM满配180kVA机柜，只含维修旁路开关</t>
  </si>
  <si>
    <t>祁连UM满配400kVA机柜，含4开关-隔离负荷开关</t>
  </si>
  <si>
    <t>祁连UM满配600kVA机柜，含4开关-隔离负荷开关</t>
  </si>
  <si>
    <t>祁连UM满配800kVA机柜，含4开关-隔离负荷开关</t>
  </si>
  <si>
    <t>功率因数</t>
  </si>
  <si>
    <t>并机数量</t>
  </si>
  <si>
    <t>电池启动</t>
  </si>
  <si>
    <t>高度</t>
  </si>
  <si>
    <t>支持</t>
  </si>
  <si>
    <t>2U</t>
  </si>
  <si>
    <t>3U</t>
  </si>
  <si>
    <t>太行 UR-0030SDL</t>
  </si>
  <si>
    <t>太行 UR-0050SDL</t>
  </si>
  <si>
    <t>太行 UR-0060SDL</t>
  </si>
  <si>
    <t>自带</t>
    <phoneticPr fontId="6" type="noConversion"/>
  </si>
  <si>
    <t>并机线</t>
    <phoneticPr fontId="6" type="noConversion"/>
  </si>
  <si>
    <t>并机线</t>
    <phoneticPr fontId="8" type="noConversion"/>
  </si>
  <si>
    <t>功率因数</t>
    <phoneticPr fontId="8" type="noConversion"/>
  </si>
  <si>
    <t>并机数量</t>
    <phoneticPr fontId="8" type="noConversion"/>
  </si>
  <si>
    <t>2U</t>
    <phoneticPr fontId="8" type="noConversion"/>
  </si>
  <si>
    <t>模块高度</t>
    <phoneticPr fontId="8" type="noConversion"/>
  </si>
  <si>
    <t>≤6</t>
    <phoneticPr fontId="8" type="noConversion"/>
  </si>
  <si>
    <t>3U</t>
    <phoneticPr fontId="8" type="noConversion"/>
  </si>
  <si>
    <t>走线方式</t>
    <phoneticPr fontId="8" type="noConversion"/>
  </si>
  <si>
    <t>下</t>
    <phoneticPr fontId="8" type="noConversion"/>
  </si>
  <si>
    <t>上、下</t>
    <phoneticPr fontId="8" type="noConversion"/>
  </si>
  <si>
    <t>机架/塔式</t>
    <phoneticPr fontId="8" type="noConversion"/>
  </si>
  <si>
    <t>可选</t>
    <phoneticPr fontId="8" type="noConversion"/>
  </si>
  <si>
    <t>下（如需上走线需配置边柜）</t>
    <phoneticPr fontId="8" type="noConversion"/>
  </si>
  <si>
    <t>36 节及以上时输出功率不降额；34、32 节时输出功率降额至 90%；30 节时输出功率降额至 80%</t>
    <phoneticPr fontId="8" type="noConversion"/>
  </si>
  <si>
    <t>有</t>
    <phoneticPr fontId="8" type="noConversion"/>
  </si>
  <si>
    <t>良信</t>
    <phoneticPr fontId="8" type="noConversion"/>
  </si>
  <si>
    <t>125kVA 机柜，配置主路输入、旁路输入、输出及维修旁路四个开关</t>
    <phoneticPr fontId="8" type="noConversion"/>
  </si>
  <si>
    <t>塔式</t>
    <phoneticPr fontId="8" type="noConversion"/>
  </si>
  <si>
    <t>泰山 UT-0800TAL-6P+5th</t>
    <phoneticPr fontId="8" type="noConversion"/>
  </si>
  <si>
    <t>泰山 UT-0800TAL-12P+11th</t>
    <phoneticPr fontId="10" type="noConversion"/>
  </si>
  <si>
    <t>可选</t>
    <phoneticPr fontId="10" type="noConversion"/>
  </si>
  <si>
    <t>/</t>
    <phoneticPr fontId="8" type="noConversion"/>
  </si>
  <si>
    <t>显示屏</t>
    <phoneticPr fontId="8" type="noConversion"/>
  </si>
  <si>
    <t>冷启动</t>
    <phoneticPr fontId="8" type="noConversion"/>
  </si>
  <si>
    <t>主旁不同源</t>
    <phoneticPr fontId="8" type="noConversion"/>
  </si>
  <si>
    <t>安装</t>
    <phoneticPr fontId="8" type="noConversion"/>
  </si>
  <si>
    <t>开关品牌</t>
    <phoneticPr fontId="8" type="noConversion"/>
  </si>
  <si>
    <t>4.3LCD</t>
  </si>
  <si>
    <t>7LCD</t>
    <phoneticPr fontId="8" type="noConversion"/>
  </si>
  <si>
    <t>无</t>
    <phoneticPr fontId="11" type="noConversion"/>
  </si>
  <si>
    <t>可选</t>
    <phoneticPr fontId="11" type="noConversion"/>
  </si>
  <si>
    <r>
      <t>30-</t>
    </r>
    <r>
      <rPr>
        <sz val="11"/>
        <color rgb="FFFF0000"/>
        <rFont val="微软雅黑"/>
        <family val="2"/>
        <charset val="134"/>
      </rPr>
      <t>40</t>
    </r>
    <r>
      <rPr>
        <sz val="11"/>
        <color theme="1"/>
        <rFont val="微软雅黑"/>
        <family val="2"/>
        <charset val="134"/>
      </rPr>
      <t>-50</t>
    </r>
    <phoneticPr fontId="11" type="noConversion"/>
  </si>
  <si>
    <t>电池36 节及以上时输出功率不降额；
34、32 节时输出功率降额至 90%；
30 节时输出功率降额至 80%。</t>
    <phoneticPr fontId="8" type="noConversion"/>
  </si>
  <si>
    <t>祁连UM满配90kVA机柜，只含手动维修旁路开关</t>
    <phoneticPr fontId="8" type="noConversion"/>
  </si>
  <si>
    <t>≤4</t>
    <phoneticPr fontId="8" type="noConversion"/>
  </si>
  <si>
    <t>≤8</t>
    <phoneticPr fontId="8" type="noConversion"/>
  </si>
  <si>
    <t>≤10</t>
    <phoneticPr fontId="8" type="noConversion"/>
  </si>
  <si>
    <t>≤12</t>
    <phoneticPr fontId="8" type="noConversion"/>
  </si>
  <si>
    <t>≤16</t>
    <phoneticPr fontId="8" type="noConversion"/>
  </si>
  <si>
    <r>
      <t>30-</t>
    </r>
    <r>
      <rPr>
        <sz val="11"/>
        <color rgb="FFFF0000"/>
        <rFont val="微软雅黑"/>
        <family val="2"/>
        <charset val="134"/>
      </rPr>
      <t>40</t>
    </r>
    <r>
      <rPr>
        <sz val="11"/>
        <color theme="1"/>
        <rFont val="微软雅黑"/>
        <family val="2"/>
        <charset val="134"/>
      </rPr>
      <t>-50</t>
    </r>
    <phoneticPr fontId="8" type="noConversion"/>
  </si>
  <si>
    <r>
      <rPr>
        <sz val="11"/>
        <color rgb="FFFF0000"/>
        <rFont val="微软雅黑"/>
        <family val="2"/>
        <charset val="134"/>
      </rPr>
      <t>30</t>
    </r>
    <r>
      <rPr>
        <sz val="11"/>
        <color theme="1"/>
        <rFont val="微软雅黑"/>
        <family val="2"/>
        <charset val="134"/>
      </rPr>
      <t>-32</t>
    </r>
    <phoneticPr fontId="8" type="noConversion"/>
  </si>
  <si>
    <t>10kVA-三进三出-塔式机-6P，内置5th谐波滤波器</t>
    <phoneticPr fontId="8" type="noConversion"/>
  </si>
  <si>
    <t>15kVA-三进三出-塔式机-6P，内置5th谐波滤波器</t>
    <phoneticPr fontId="8" type="noConversion"/>
  </si>
  <si>
    <t>20kVA-三进三出-塔式机-6P，内置5th谐波滤波器</t>
    <phoneticPr fontId="8" type="noConversion"/>
  </si>
  <si>
    <t>30kVA-三进三出-塔式机-6P，内置5th谐波滤波器</t>
    <phoneticPr fontId="8" type="noConversion"/>
  </si>
  <si>
    <t>30kVA-三进三出-塔式机-12P，内置11th 谐波滤波器</t>
    <phoneticPr fontId="8" type="noConversion"/>
  </si>
  <si>
    <t>40kVA-三进三出-塔式机-6P，内置5th谐波滤波器</t>
    <phoneticPr fontId="8" type="noConversion"/>
  </si>
  <si>
    <t>40kVA-三进三出-塔式机-12P，内置11th 谐波滤波器</t>
    <phoneticPr fontId="8" type="noConversion"/>
  </si>
  <si>
    <t>60kVA-三进三出-塔式机-6P，内置5th谐波滤波器</t>
    <phoneticPr fontId="8" type="noConversion"/>
  </si>
  <si>
    <t>60kVA-三进三出-塔式机-12P，内置11th 谐波滤波器</t>
    <phoneticPr fontId="8" type="noConversion"/>
  </si>
  <si>
    <t>80kVA-三进三出-塔式机-6P，内置5th谐波滤波器</t>
    <phoneticPr fontId="8" type="noConversion"/>
  </si>
  <si>
    <t>80kVA-三进三出-塔式机-12P，内置11th 谐波滤波器</t>
    <phoneticPr fontId="10" type="noConversion"/>
  </si>
  <si>
    <t>100KVA-12 脉冲，工频塔式，含电池总开关</t>
    <phoneticPr fontId="10" type="noConversion"/>
  </si>
  <si>
    <t>100kVA-三进三出-6P，内置5th谐波滤波器，含电池总开关</t>
  </si>
  <si>
    <t>100kVA-三进三出-塔式机-12P，内置11th 谐波滤波器，含电池总开关</t>
    <phoneticPr fontId="10" type="noConversion"/>
  </si>
  <si>
    <t>160KVA-6 脉冲，工频塔式，含电池总开关</t>
    <phoneticPr fontId="8" type="noConversion"/>
  </si>
  <si>
    <t>160kVA-三进三出-塔式机-6P，内置5th 谐波滤波器，含电池总开关</t>
    <phoneticPr fontId="8" type="noConversion"/>
  </si>
  <si>
    <t>160KVA-12 脉冲，工频塔式，含电池总开关</t>
    <phoneticPr fontId="8" type="noConversion"/>
  </si>
  <si>
    <t>160kVA-三进三出-塔式机-12P，内置11th 谐波滤波器，含电池总开关</t>
    <phoneticPr fontId="8" type="noConversion"/>
  </si>
  <si>
    <t>200KVA-6 脉冲，工频塔式，含电池总开关</t>
    <phoneticPr fontId="8" type="noConversion"/>
  </si>
  <si>
    <t>200kVA-三进三出-塔式机-6P，内置5th 谐波滤波器，含电池总开关</t>
    <phoneticPr fontId="8" type="noConversion"/>
  </si>
  <si>
    <t>200KVA-12 脉冲，工频塔式，含电池总开关</t>
    <phoneticPr fontId="8" type="noConversion"/>
  </si>
  <si>
    <t>200kVA-三进三出-塔式机-12P，内置11th 谐波滤波器，含电池总开关</t>
    <phoneticPr fontId="8" type="noConversion"/>
  </si>
  <si>
    <t>250KVA-6 脉冲，工频塔式，含电池总开关</t>
    <phoneticPr fontId="8" type="noConversion"/>
  </si>
  <si>
    <t>250kVA-三进三出-塔式机-6P，内置5th 谐波滤波器，含电池总开关</t>
    <phoneticPr fontId="8" type="noConversion"/>
  </si>
  <si>
    <t>250KVA-12 脉冲，工频塔式，含电池总开关</t>
    <phoneticPr fontId="8" type="noConversion"/>
  </si>
  <si>
    <t>250kVA-三进三出-塔式机-12P，内置11th 谐波滤波器，含电池总开关</t>
    <phoneticPr fontId="8" type="noConversion"/>
  </si>
  <si>
    <t>300KVA-6 脉冲，工频塔式，含电池总开关</t>
    <phoneticPr fontId="8" type="noConversion"/>
  </si>
  <si>
    <t>300kVA-三进三出-塔式机-6P，内置5th 谐波滤波器，含电池总开关</t>
    <phoneticPr fontId="8" type="noConversion"/>
  </si>
  <si>
    <t>300KVA-12 脉冲，工频塔式，含电池总开关</t>
    <phoneticPr fontId="8" type="noConversion"/>
  </si>
  <si>
    <t>300kVA-三进三出-塔式机-12P，内置11th 谐波滤波器，含电池总开关</t>
    <phoneticPr fontId="8" type="noConversion"/>
  </si>
  <si>
    <t>400KVA-6 脉冲，工频塔式，含电池总开关</t>
    <phoneticPr fontId="8" type="noConversion"/>
  </si>
  <si>
    <t>400kVA-三进三出-塔式机-6P，内置5th 谐波滤波器，含电池总开关</t>
    <phoneticPr fontId="8" type="noConversion"/>
  </si>
  <si>
    <t>400KVA-12 脉冲，工频塔式，含电池总开关</t>
    <phoneticPr fontId="8" type="noConversion"/>
  </si>
  <si>
    <t>400kVA-三进三出-塔式机-12P，内置11th 谐波滤波器，含电池总开关</t>
    <phoneticPr fontId="8" type="noConversion"/>
  </si>
  <si>
    <t>500KVA-12 脉冲，工频塔式，含电池总开关</t>
    <phoneticPr fontId="8" type="noConversion"/>
  </si>
  <si>
    <t>500kVA-三进三出-塔式机-12P，内置11th 谐波滤波器，含电池总开关</t>
    <phoneticPr fontId="8" type="noConversion"/>
  </si>
  <si>
    <t>600KVA-12 脉冲，工频塔式，含电池总开关</t>
    <phoneticPr fontId="8" type="noConversion"/>
  </si>
  <si>
    <t>600kVA-三进三出-塔式机-12P，内置11th 谐波滤波器，含电池总开关</t>
    <phoneticPr fontId="8" type="noConversion"/>
  </si>
  <si>
    <t>800KVA-12 脉冲，工频塔式，含电池总开关</t>
    <phoneticPr fontId="8" type="noConversion"/>
  </si>
  <si>
    <t>800kVA-三进三出-塔式机-12P，内置11th 谐波滤波器，含电池总开关</t>
    <phoneticPr fontId="8" type="noConversion"/>
  </si>
  <si>
    <t>泰尔</t>
    <phoneticPr fontId="8" type="noConversion"/>
  </si>
  <si>
    <t>√</t>
    <phoneticPr fontId="8" type="noConversion"/>
  </si>
  <si>
    <t>CQC节能认证</t>
    <phoneticPr fontId="8" type="noConversion"/>
  </si>
  <si>
    <t>√</t>
    <phoneticPr fontId="6" type="noConversion"/>
  </si>
  <si>
    <t>抗震</t>
    <phoneticPr fontId="8" type="noConversion"/>
  </si>
  <si>
    <t>下，可选上进线</t>
    <phoneticPr fontId="8" type="noConversion"/>
  </si>
  <si>
    <t>CE</t>
    <phoneticPr fontId="6" type="noConversion"/>
  </si>
  <si>
    <t>CE</t>
    <phoneticPr fontId="8" type="noConversion"/>
  </si>
  <si>
    <t>中性线</t>
    <phoneticPr fontId="8" type="noConversion"/>
  </si>
  <si>
    <t>无</t>
    <phoneticPr fontId="8" type="noConversion"/>
  </si>
  <si>
    <t>下（侧）</t>
    <phoneticPr fontId="8" type="noConversion"/>
  </si>
  <si>
    <t>下（上）</t>
    <phoneticPr fontId="8" type="noConversion"/>
  </si>
  <si>
    <t>支持</t>
    <phoneticPr fontId="8" type="noConversion"/>
  </si>
  <si>
    <r>
      <rPr>
        <sz val="11"/>
        <color rgb="FFFF0000"/>
        <rFont val="微软雅黑"/>
        <family val="2"/>
        <charset val="134"/>
      </rPr>
      <t>30</t>
    </r>
    <r>
      <rPr>
        <sz val="11"/>
        <color theme="1"/>
        <rFont val="微软雅黑"/>
        <family val="2"/>
        <charset val="134"/>
      </rPr>
      <t>-34</t>
    </r>
    <phoneticPr fontId="10" type="noConversion"/>
  </si>
  <si>
    <t>120kVA-三进三出-塔式机-12P，内置11th 谐波滤波器，含电池总开关</t>
    <phoneticPr fontId="10" type="noConversion"/>
  </si>
  <si>
    <t>120KVA-12 脉冲，工频塔式，含电池总开关</t>
    <phoneticPr fontId="10" type="noConversion"/>
  </si>
  <si>
    <t>120kVA-三进三出-塔式机-6P，内置5th 谐波滤波器，含电池总开关</t>
    <phoneticPr fontId="8" type="noConversion"/>
  </si>
  <si>
    <t>120KVA-6 脉冲，工频塔式，含电池总开关</t>
    <phoneticPr fontId="10" type="noConversion"/>
  </si>
  <si>
    <t>100KVA-6 脉冲，工频塔式，含电池总开关</t>
    <phoneticPr fontId="10" type="noConversion"/>
  </si>
  <si>
    <t>80KVA-12 脉冲，工频塔式</t>
    <phoneticPr fontId="8" type="noConversion"/>
  </si>
  <si>
    <t>80KVA-6 脉冲，工频塔式</t>
    <phoneticPr fontId="8" type="noConversion"/>
  </si>
  <si>
    <t>60KVA-12 脉冲，工频塔式</t>
    <phoneticPr fontId="8" type="noConversion"/>
  </si>
  <si>
    <t>60KVA-6 脉冲，工频塔式</t>
    <phoneticPr fontId="8" type="noConversion"/>
  </si>
  <si>
    <t>40KVA-12 脉冲，工频塔式</t>
    <phoneticPr fontId="10" type="noConversion"/>
  </si>
  <si>
    <t>40KVA-6 脉冲，工频塔式</t>
    <phoneticPr fontId="8" type="noConversion"/>
  </si>
  <si>
    <t>30KVA-12 脉冲，工频塔式</t>
    <phoneticPr fontId="8" type="noConversion"/>
  </si>
  <si>
    <t>30KVA-6 脉冲，工频塔式</t>
    <phoneticPr fontId="8" type="noConversion"/>
  </si>
  <si>
    <t>20KVA-6 脉冲，工频塔式</t>
    <phoneticPr fontId="8" type="noConversion"/>
  </si>
  <si>
    <t>15KVA-6 脉冲，工频塔式</t>
    <phoneticPr fontId="8" type="noConversion"/>
  </si>
  <si>
    <t>10KVA-6 脉冲，工频塔式</t>
    <phoneticPr fontId="10" type="noConversion"/>
  </si>
  <si>
    <t>输入THDI</t>
    <phoneticPr fontId="6" type="noConversion"/>
  </si>
  <si>
    <t>输出THDU</t>
    <phoneticPr fontId="6" type="noConversion"/>
  </si>
  <si>
    <t>阻性/非线性</t>
    <phoneticPr fontId="6" type="noConversion"/>
  </si>
  <si>
    <t>满载/半载</t>
    <phoneticPr fontId="6" type="noConversion"/>
  </si>
  <si>
    <t>输入THDI</t>
    <phoneticPr fontId="8" type="noConversion"/>
  </si>
  <si>
    <t>输出THDU</t>
    <phoneticPr fontId="8" type="noConversion"/>
  </si>
  <si>
    <t>满载</t>
    <phoneticPr fontId="8" type="noConversion"/>
  </si>
  <si>
    <t>0.5%/2.9%</t>
    <phoneticPr fontId="8" type="noConversion"/>
  </si>
  <si>
    <t>不支持</t>
    <phoneticPr fontId="8" type="noConversion"/>
  </si>
  <si>
    <r>
      <t xml:space="preserve">36 节及以上时输出功率不降额；34、32 节时输出功率降额至 90%；30 节时输出功率降额至 80%
</t>
    </r>
    <r>
      <rPr>
        <sz val="11"/>
        <color rgb="FFFF0000"/>
        <rFont val="微软雅黑"/>
        <family val="2"/>
        <charset val="134"/>
      </rPr>
      <t>25k、30k模块严禁混用</t>
    </r>
    <phoneticPr fontId="8" type="noConversion"/>
  </si>
  <si>
    <t>开 关 盒 配 置 计 算 表</t>
  </si>
  <si>
    <t>UPS容量VA</t>
    <phoneticPr fontId="6" type="noConversion"/>
  </si>
  <si>
    <t>功率因数</t>
    <phoneticPr fontId="6" type="noConversion"/>
  </si>
  <si>
    <t>电池节数</t>
  </si>
  <si>
    <t>单格个数</t>
  </si>
  <si>
    <t>电池逆变效率</t>
  </si>
  <si>
    <t>单格功率</t>
  </si>
  <si>
    <t>电池功率</t>
  </si>
  <si>
    <t>组数</t>
  </si>
  <si>
    <t>电池节数/组</t>
  </si>
  <si>
    <t>终止电压</t>
  </si>
  <si>
    <t>最大电流</t>
  </si>
  <si>
    <t>根据UPS参数修改填入</t>
    <phoneticPr fontId="6" type="noConversion"/>
  </si>
  <si>
    <t>实际值、计算值均可</t>
    <phoneticPr fontId="6" type="noConversion"/>
  </si>
  <si>
    <t>根据UPS具体配置填入</t>
  </si>
  <si>
    <t>根据UPS具体型号修改填入</t>
  </si>
  <si>
    <t>查表后填入进行计算</t>
  </si>
  <si>
    <t>结果越接近1越优，不得超过1</t>
  </si>
  <si>
    <t>根据UPS参数修改填入</t>
  </si>
  <si>
    <t>*电池总开关容量和电池汇流盒容量不得低于最大放电电流</t>
  </si>
  <si>
    <t>*最大放电电流计算公式I=PL/(N*1.75*6*η)</t>
  </si>
  <si>
    <t>PL为负载功率，单位为W</t>
  </si>
  <si>
    <t>N为单组电池节数</t>
  </si>
  <si>
    <t>10.5为12V电池放电截止电压，即1.75*6</t>
  </si>
  <si>
    <t>η为电池逆变效率，一般高频机取0.95，工频机取0.94</t>
  </si>
  <si>
    <t>*分组开关盒容量计算</t>
  </si>
  <si>
    <t>*电池配置示例：</t>
  </si>
  <si>
    <t>分组开关电流I分=总电流I/（N-1），N为电池组数，N需要≥2</t>
  </si>
  <si>
    <t>以泰山20k机型为例，计算15分钟电池配置。</t>
  </si>
  <si>
    <t>*电池开关盒电压等级选型：</t>
  </si>
  <si>
    <t>单组电池不超过20节选择-250VDC</t>
  </si>
  <si>
    <t>单组电池在20-36节选择-500VDC</t>
  </si>
  <si>
    <t>单组电池在38节及以上时选择-750VDC</t>
  </si>
  <si>
    <t>25k≤5
30k≤4</t>
    <phoneticPr fontId="8" type="noConversion"/>
  </si>
  <si>
    <t>铅 酸 电 池 配 置 计 算 表</t>
    <phoneticPr fontId="16" type="noConversion"/>
  </si>
  <si>
    <t>功率W</t>
    <phoneticPr fontId="6" type="noConversion"/>
  </si>
  <si>
    <t>时间min</t>
    <phoneticPr fontId="16" type="noConversion"/>
  </si>
  <si>
    <t>额定电压V</t>
    <phoneticPr fontId="16" type="noConversion"/>
  </si>
  <si>
    <t>电池放电效率K1</t>
    <phoneticPr fontId="16" type="noConversion"/>
  </si>
  <si>
    <t>逆变效率K2</t>
    <phoneticPr fontId="16" type="noConversion"/>
  </si>
  <si>
    <t>电池容量C</t>
    <phoneticPr fontId="16" type="noConversion"/>
  </si>
  <si>
    <t>512V100Ah</t>
    <phoneticPr fontId="16" type="noConversion"/>
  </si>
  <si>
    <t>512V200Ah</t>
    <phoneticPr fontId="16" type="noConversion"/>
  </si>
  <si>
    <t>备电时间≥1h</t>
    <phoneticPr fontId="16" type="noConversion"/>
  </si>
  <si>
    <t>备电时间≥30min</t>
    <phoneticPr fontId="16" type="noConversion"/>
  </si>
  <si>
    <t>备电时间≥15min</t>
    <phoneticPr fontId="16" type="noConversion"/>
  </si>
  <si>
    <t>*锂电池配置计算公式C=P*PF*t/（V*K1*K2）/60</t>
    <phoneticPr fontId="16" type="noConversion"/>
  </si>
  <si>
    <t>*电池恒功率计算公式 W = PL÷(N*6*η)（W/block）</t>
    <phoneticPr fontId="16" type="noConversion"/>
  </si>
  <si>
    <t>采用512V70Ah锂电池，单簇最大功率不超过150kW</t>
    <phoneticPr fontId="16" type="noConversion"/>
  </si>
  <si>
    <t>采用512V100Ah锂电池，单簇最大高功率不超过50kW</t>
    <phoneticPr fontId="16" type="noConversion"/>
  </si>
  <si>
    <t>锂 电 池 配 置 计 算 表</t>
    <phoneticPr fontId="16" type="noConversion"/>
  </si>
  <si>
    <t>通讯</t>
    <phoneticPr fontId="6" type="noConversion"/>
  </si>
  <si>
    <t>并机卡</t>
    <phoneticPr fontId="6" type="noConversion"/>
  </si>
  <si>
    <t>并机卡</t>
    <phoneticPr fontId="8" type="noConversion"/>
  </si>
  <si>
    <t>自带</t>
    <phoneticPr fontId="8" type="noConversion"/>
  </si>
  <si>
    <t>自带1.5m线</t>
    <phoneticPr fontId="11" type="noConversion"/>
  </si>
  <si>
    <t>自带3m线</t>
    <phoneticPr fontId="11" type="noConversion"/>
  </si>
  <si>
    <t>自带485接口modbus协议，可选SNMP卡</t>
  </si>
  <si>
    <t>自带485接口modbus协议，可选SNMP卡</t>
    <phoneticPr fontId="8" type="noConversion"/>
  </si>
  <si>
    <t xml:space="preserve">自带485接口modbus协议，可选SNMP卡 </t>
    <phoneticPr fontId="8" type="noConversion"/>
  </si>
  <si>
    <t>LCD3.5</t>
  </si>
  <si>
    <t>LCD3.5</t>
    <phoneticPr fontId="8" type="noConversion"/>
  </si>
  <si>
    <r>
      <t>38-</t>
    </r>
    <r>
      <rPr>
        <sz val="11"/>
        <color rgb="FFFF0000"/>
        <rFont val="微软雅黑"/>
        <family val="2"/>
        <charset val="134"/>
      </rPr>
      <t>40</t>
    </r>
    <r>
      <rPr>
        <sz val="11"/>
        <color theme="1"/>
        <rFont val="微软雅黑"/>
        <family val="2"/>
        <charset val="134"/>
      </rPr>
      <t>-42</t>
    </r>
    <phoneticPr fontId="8" type="noConversion"/>
  </si>
  <si>
    <r>
      <t>38-</t>
    </r>
    <r>
      <rPr>
        <sz val="11"/>
        <color rgb="FFFF0000"/>
        <rFont val="微软雅黑"/>
        <family val="2"/>
        <charset val="134"/>
      </rPr>
      <t>40</t>
    </r>
    <r>
      <rPr>
        <sz val="11"/>
        <color theme="1"/>
        <rFont val="微软雅黑"/>
        <family val="2"/>
        <charset val="134"/>
      </rPr>
      <t>-42</t>
    </r>
    <r>
      <rPr>
        <sz val="11"/>
        <color theme="1"/>
        <rFont val="等线"/>
        <family val="2"/>
        <scheme val="minor"/>
      </rPr>
      <t/>
    </r>
  </si>
  <si>
    <t>祁连UM一体化UPS-125KVA双路输入（ATS）-含UPS 输入输出-8 路空调-3 路照明-48 路 IT 配电</t>
    <phoneticPr fontId="8" type="noConversion"/>
  </si>
  <si>
    <t>祁连UM一体化UPS-125KVA单路输入（MCCB）-含UPS 输入输出-8 路空调-3 路照明-48 路 IT 配电</t>
    <phoneticPr fontId="8" type="noConversion"/>
  </si>
  <si>
    <t>7LCD</t>
  </si>
  <si>
    <r>
      <t>30-</t>
    </r>
    <r>
      <rPr>
        <sz val="11"/>
        <color rgb="FFFF0000"/>
        <rFont val="微软雅黑"/>
        <family val="2"/>
        <charset val="134"/>
      </rPr>
      <t>40</t>
    </r>
    <r>
      <rPr>
        <sz val="11"/>
        <color theme="1"/>
        <rFont val="微软雅黑"/>
        <family val="2"/>
        <charset val="134"/>
      </rPr>
      <t>-50</t>
    </r>
    <r>
      <rPr>
        <sz val="11"/>
        <color theme="1"/>
        <rFont val="等线"/>
        <family val="2"/>
        <scheme val="minor"/>
      </rPr>
      <t/>
    </r>
  </si>
  <si>
    <t>单相：176~264</t>
    <phoneticPr fontId="25" type="noConversion"/>
  </si>
  <si>
    <t>输入功率因数</t>
    <phoneticPr fontId="25" type="noConversion"/>
  </si>
  <si>
    <t>100%/ 50%/ 30%</t>
    <phoneticPr fontId="25" type="noConversion"/>
  </si>
  <si>
    <t>100%/ 50%/ 30%</t>
    <phoneticPr fontId="6" type="noConversion"/>
  </si>
  <si>
    <t>48~52可调</t>
  </si>
  <si>
    <t>48~52可调</t>
    <phoneticPr fontId="25" type="noConversion"/>
  </si>
  <si>
    <t>输入电压范围(V)</t>
    <phoneticPr fontId="25" type="noConversion"/>
  </si>
  <si>
    <t>频率跟踪范围(Hz)</t>
    <phoneticPr fontId="25" type="noConversion"/>
  </si>
  <si>
    <t>频率跟踪速率(Hz/s)</t>
    <phoneticPr fontId="25" type="noConversion"/>
  </si>
  <si>
    <t>输出电压稳压精度</t>
    <phoneticPr fontId="25" type="noConversion"/>
  </si>
  <si>
    <t>输出频率</t>
    <phoneticPr fontId="25" type="noConversion"/>
  </si>
  <si>
    <t>输出电压不平衡度</t>
    <phoneticPr fontId="25" type="noConversion"/>
  </si>
  <si>
    <t>单相</t>
    <phoneticPr fontId="25" type="noConversion"/>
  </si>
  <si>
    <t>动态电压瞬变范围</t>
    <phoneticPr fontId="25" type="noConversion"/>
  </si>
  <si>
    <t>空→满/满→空</t>
    <phoneticPr fontId="25" type="noConversion"/>
  </si>
  <si>
    <t>输出电压相位偏差</t>
    <phoneticPr fontId="6" type="noConversion"/>
  </si>
  <si>
    <t>市电电池转换时间</t>
    <phoneticPr fontId="6" type="noConversion"/>
  </si>
  <si>
    <t>逆→旁/旁→逆</t>
    <phoneticPr fontId="25" type="noConversion"/>
  </si>
  <si>
    <t>效率</t>
    <phoneticPr fontId="25" type="noConversion"/>
  </si>
  <si>
    <t>输出电流峰值系数</t>
    <phoneticPr fontId="25" type="noConversion"/>
  </si>
  <si>
    <t>过载能力(min)</t>
    <phoneticPr fontId="25" type="noConversion"/>
  </si>
  <si>
    <t>输出功率因数</t>
    <phoneticPr fontId="25" type="noConversion"/>
  </si>
  <si>
    <t>电压瞬变恢复时间(ms)</t>
    <phoneticPr fontId="25" type="noConversion"/>
  </si>
  <si>
    <t>0/0</t>
  </si>
  <si>
    <t>20/0</t>
  </si>
  <si>
    <t>20/0</t>
    <phoneticPr fontId="25" type="noConversion"/>
  </si>
  <si>
    <t>平衡/不平衡</t>
    <phoneticPr fontId="25" type="noConversion"/>
  </si>
  <si>
    <t>正常/电池</t>
    <phoneticPr fontId="25" type="noConversion"/>
  </si>
  <si>
    <t>0.1/0.1</t>
  </si>
  <si>
    <t xml:space="preserve">昆仑UE-4000TAL-F-1 </t>
    <phoneticPr fontId="25" type="noConversion"/>
  </si>
  <si>
    <t>昆仑UE-5000TAL-F-1</t>
    <phoneticPr fontId="25" type="noConversion"/>
  </si>
  <si>
    <t>昆仑UE-6000TAL-F-1</t>
    <phoneticPr fontId="25" type="noConversion"/>
  </si>
  <si>
    <t>昆仑UE-8000TAL-F-1</t>
    <phoneticPr fontId="25" type="noConversion"/>
  </si>
  <si>
    <t xml:space="preserve">昆仑UE-3000TAL-1 </t>
    <phoneticPr fontId="25" type="noConversion"/>
  </si>
  <si>
    <t>昆仑UE-2000TAL-1</t>
    <phoneticPr fontId="25" type="noConversion"/>
  </si>
  <si>
    <t>20/20</t>
    <phoneticPr fontId="25" type="noConversion"/>
  </si>
  <si>
    <t>三相电压不平衡度</t>
    <phoneticPr fontId="25" type="noConversion"/>
  </si>
  <si>
    <t>三相电压相位偏差</t>
    <phoneticPr fontId="6" type="noConversion"/>
  </si>
  <si>
    <t>系统效率</t>
    <phoneticPr fontId="25" type="noConversion"/>
  </si>
  <si>
    <t>功率模块效率</t>
    <phoneticPr fontId="6" type="noConversion"/>
  </si>
  <si>
    <t>输出电流不均衡度</t>
    <phoneticPr fontId="6" type="noConversion"/>
  </si>
  <si>
    <t>0.2%/0.4%</t>
    <phoneticPr fontId="25" type="noConversion"/>
  </si>
  <si>
    <t>100%/ 50%</t>
    <phoneticPr fontId="6" type="noConversion"/>
  </si>
  <si>
    <t>0/0</t>
    <phoneticPr fontId="6" type="noConversion"/>
  </si>
  <si>
    <t>20/20</t>
  </si>
  <si>
    <t>0.01/0.01</t>
  </si>
  <si>
    <t>泰山UT-0100TAL-6P</t>
    <phoneticPr fontId="10" type="noConversion"/>
  </si>
  <si>
    <t>泰山UT-0150TAL-6P</t>
  </si>
  <si>
    <t>泰山UT-0200TAL-6P</t>
    <phoneticPr fontId="8" type="noConversion"/>
  </si>
  <si>
    <t>泰山UT-0300TAL-6P</t>
    <phoneticPr fontId="8" type="noConversion"/>
  </si>
  <si>
    <t>泰山UT-0400TAL-6P</t>
    <phoneticPr fontId="10" type="noConversion"/>
  </si>
  <si>
    <t>泰山UT-0600TAL-6P</t>
    <phoneticPr fontId="8" type="noConversion"/>
  </si>
  <si>
    <t>泰山UT-0800TAL-6P</t>
    <phoneticPr fontId="8" type="noConversion"/>
  </si>
  <si>
    <t>泰山UT-0800TAL-12P</t>
    <phoneticPr fontId="8" type="noConversion"/>
  </si>
  <si>
    <t>泰山UT-1000TAL-6P</t>
    <phoneticPr fontId="10" type="noConversion"/>
  </si>
  <si>
    <t>泰山UT-1000TAL-12P</t>
    <phoneticPr fontId="10" type="noConversion"/>
  </si>
  <si>
    <t>泰山UT-1200TAL-6P</t>
    <phoneticPr fontId="10" type="noConversion"/>
  </si>
  <si>
    <t>泰山UT-1200TAL-12P</t>
    <phoneticPr fontId="10" type="noConversion"/>
  </si>
  <si>
    <t>泰山UT-1600TAL-6P</t>
    <phoneticPr fontId="10" type="noConversion"/>
  </si>
  <si>
    <t>泰山UT-1600TAL-12P</t>
    <phoneticPr fontId="10" type="noConversion"/>
  </si>
  <si>
    <t>泰山UT-2000TAL-6P</t>
    <phoneticPr fontId="10" type="noConversion"/>
  </si>
  <si>
    <t>泰山UT-2000TAL-12P</t>
    <phoneticPr fontId="10" type="noConversion"/>
  </si>
  <si>
    <t>泰山UT-2500TAL-6P</t>
    <phoneticPr fontId="10" type="noConversion"/>
  </si>
  <si>
    <t>泰山UT-2500TAL-12P</t>
    <phoneticPr fontId="10" type="noConversion"/>
  </si>
  <si>
    <t>泰山UT-3000TAL-6P</t>
    <phoneticPr fontId="10" type="noConversion"/>
  </si>
  <si>
    <t>泰山UT-3000TAL-12P</t>
    <phoneticPr fontId="10" type="noConversion"/>
  </si>
  <si>
    <t>泰山UT-4000TAL-6P</t>
    <phoneticPr fontId="8" type="noConversion"/>
  </si>
  <si>
    <t>泰山UT-4000TAL-12P</t>
    <phoneticPr fontId="8" type="noConversion"/>
  </si>
  <si>
    <t>泰山UT-5000TAL-12P</t>
    <phoneticPr fontId="8" type="noConversion"/>
  </si>
  <si>
    <t>泰山UT-6000TAL-12P</t>
    <phoneticPr fontId="8" type="noConversion"/>
  </si>
  <si>
    <t>泰山UT-8000TAL-12P</t>
    <phoneticPr fontId="8" type="noConversion"/>
  </si>
  <si>
    <t>气密性</t>
    <phoneticPr fontId="25" type="noConversion"/>
  </si>
  <si>
    <t>型号</t>
    <phoneticPr fontId="25" type="noConversion"/>
  </si>
  <si>
    <t>10h/3h/1h</t>
    <phoneticPr fontId="6" type="noConversion"/>
  </si>
  <si>
    <t>容量(Ah)</t>
    <phoneticPr fontId="25" type="noConversion"/>
  </si>
  <si>
    <t>大电流放电</t>
    <phoneticPr fontId="25" type="noConversion"/>
  </si>
  <si>
    <t>合格</t>
    <phoneticPr fontId="25" type="noConversion"/>
  </si>
  <si>
    <t>容量保存率</t>
    <phoneticPr fontId="25" type="noConversion"/>
  </si>
  <si>
    <t>密封反应效率</t>
    <phoneticPr fontId="6" type="noConversion"/>
  </si>
  <si>
    <t>防酸雾性能</t>
    <phoneticPr fontId="25" type="noConversion"/>
  </si>
  <si>
    <t>无逸出</t>
    <phoneticPr fontId="25" type="noConversion"/>
  </si>
  <si>
    <t>安全阀要求(可自动开闭)</t>
    <phoneticPr fontId="25" type="noConversion"/>
  </si>
  <si>
    <t>开阀压力/闭阀压力</t>
    <phoneticPr fontId="6" type="noConversion"/>
  </si>
  <si>
    <t>端电压均衡性</t>
    <phoneticPr fontId="25" type="noConversion"/>
  </si>
  <si>
    <t>开路/浮充/放电</t>
    <phoneticPr fontId="6" type="noConversion"/>
  </si>
  <si>
    <t>电池间连接电压降</t>
    <phoneticPr fontId="6" type="noConversion"/>
  </si>
  <si>
    <t>防爆性能</t>
    <phoneticPr fontId="25" type="noConversion"/>
  </si>
  <si>
    <t>封口剂性能</t>
    <phoneticPr fontId="25" type="noConversion"/>
  </si>
  <si>
    <t>内阻偏差</t>
    <phoneticPr fontId="6" type="noConversion"/>
  </si>
  <si>
    <t>热失控敏感性</t>
    <phoneticPr fontId="6" type="noConversion"/>
  </si>
  <si>
    <t>温度/增长率</t>
    <phoneticPr fontId="25" type="noConversion"/>
  </si>
  <si>
    <t>过度放电</t>
    <phoneticPr fontId="25" type="noConversion"/>
  </si>
  <si>
    <t>低温敏感性</t>
    <phoneticPr fontId="25" type="noConversion"/>
  </si>
  <si>
    <t>再充电性能</t>
    <phoneticPr fontId="25" type="noConversion"/>
  </si>
  <si>
    <t>容量一致性</t>
    <phoneticPr fontId="25" type="noConversion"/>
  </si>
  <si>
    <t>/</t>
    <phoneticPr fontId="25" type="noConversion"/>
  </si>
  <si>
    <t>50kPa</t>
    <phoneticPr fontId="25" type="noConversion"/>
  </si>
  <si>
    <t>512V70Ah</t>
    <phoneticPr fontId="16" type="noConversion"/>
  </si>
  <si>
    <t>512V140Ah</t>
    <phoneticPr fontId="16" type="noConversion"/>
  </si>
  <si>
    <t>512V210Ah</t>
    <phoneticPr fontId="16" type="noConversion"/>
  </si>
  <si>
    <t>512V280Ah</t>
    <phoneticPr fontId="16" type="noConversion"/>
  </si>
  <si>
    <t>祁连UM300kVA机柜，只含维修旁路开关</t>
    <phoneticPr fontId="8" type="noConversion"/>
  </si>
  <si>
    <t>祁连UM200kVA机柜，只含维修旁路开关</t>
    <phoneticPr fontId="8" type="noConversion"/>
  </si>
  <si>
    <t>昆仑UE-0400TAL-1</t>
    <phoneticPr fontId="8" type="noConversion"/>
  </si>
  <si>
    <t>昆仑UE-0600TAL-1</t>
    <phoneticPr fontId="8" type="noConversion"/>
  </si>
  <si>
    <t>上</t>
    <phoneticPr fontId="8" type="noConversion"/>
  </si>
  <si>
    <t>太行UR系列30kVA 机架式UPS</t>
    <phoneticPr fontId="6" type="noConversion"/>
  </si>
  <si>
    <t>太行UR系列40kVA 机架式UPS</t>
    <phoneticPr fontId="6" type="noConversion"/>
  </si>
  <si>
    <r>
      <rPr>
        <sz val="11"/>
        <rFont val="微软雅黑"/>
        <family val="2"/>
        <charset val="134"/>
      </rPr>
      <t>30-</t>
    </r>
    <r>
      <rPr>
        <sz val="11"/>
        <color rgb="FFFF0000"/>
        <rFont val="微软雅黑"/>
        <family val="2"/>
        <charset val="134"/>
      </rPr>
      <t>40</t>
    </r>
    <r>
      <rPr>
        <sz val="11"/>
        <rFont val="微软雅黑"/>
        <family val="2"/>
        <charset val="134"/>
      </rPr>
      <t>-50</t>
    </r>
  </si>
  <si>
    <r>
      <rPr>
        <sz val="11"/>
        <rFont val="微软雅黑"/>
        <family val="2"/>
        <charset val="134"/>
      </rPr>
      <t>30-</t>
    </r>
    <r>
      <rPr>
        <sz val="11"/>
        <color rgb="FFFF0000"/>
        <rFont val="微软雅黑"/>
        <family val="2"/>
        <charset val="134"/>
      </rPr>
      <t>40</t>
    </r>
    <r>
      <rPr>
        <sz val="11"/>
        <rFont val="微软雅黑"/>
        <family val="2"/>
        <charset val="134"/>
      </rPr>
      <t>-50</t>
    </r>
    <phoneticPr fontId="6" type="noConversion"/>
  </si>
  <si>
    <t>自带3m</t>
    <phoneticPr fontId="6" type="noConversion"/>
  </si>
  <si>
    <t>祁连UM满配500kVA机柜，含4开关-隔离负荷开关</t>
    <phoneticPr fontId="8" type="noConversion"/>
  </si>
  <si>
    <t>太行 UR-0300TFL</t>
    <phoneticPr fontId="6" type="noConversion"/>
  </si>
  <si>
    <t>太行 UR-0400TFL</t>
    <phoneticPr fontId="6" type="noConversion"/>
  </si>
  <si>
    <t>W为所需电池的每单格功率，单位为W/block</t>
    <phoneticPr fontId="16" type="noConversion"/>
  </si>
  <si>
    <t>PL为负载功率(=UPS额定容量*功率因数），Watts</t>
    <phoneticPr fontId="16" type="noConversion"/>
  </si>
  <si>
    <t>6为12V电池内2V单格个数</t>
    <phoneticPr fontId="16" type="noConversion"/>
  </si>
  <si>
    <t>N为单组电池节数</t>
    <phoneticPr fontId="16" type="noConversion"/>
  </si>
  <si>
    <r>
      <t>η为电池逆变效率，</t>
    </r>
    <r>
      <rPr>
        <sz val="11"/>
        <color rgb="FFFF0000"/>
        <rFont val="黑体"/>
        <family val="3"/>
        <charset val="134"/>
      </rPr>
      <t>泰山UT系列取0.94</t>
    </r>
    <phoneticPr fontId="16" type="noConversion"/>
  </si>
  <si>
    <t>一般查表 1.75V截止电压</t>
    <phoneticPr fontId="16" type="noConversion"/>
  </si>
  <si>
    <t>步骤一：计算所需单格功率：W=20000*0.9/（30*6*0.94）≈106.4</t>
    <phoneticPr fontId="16" type="noConversion"/>
  </si>
  <si>
    <t>步骤二：查艾特电池恒功率放电表，SP12-38在1.75V15min时放电功率为120.2W/Cell</t>
    <phoneticPr fontId="16" type="noConversion"/>
  </si>
  <si>
    <t>步骤三：用需求功率除以电池功率=106.4/120.2=0.89，取整为1，该数字越接近1越好，但是不可超过1</t>
    <phoneticPr fontId="16" type="noConversion"/>
  </si>
  <si>
    <t>步骤四：采用SP12-38型号电池1组30节可满足需求</t>
    <phoneticPr fontId="16" type="noConversion"/>
  </si>
  <si>
    <t>三相：304.0~476.7</t>
    <phoneticPr fontId="25" type="noConversion"/>
  </si>
  <si>
    <t>0.991/0.983/0.972</t>
    <phoneticPr fontId="25" type="noConversion"/>
  </si>
  <si>
    <t>2.4%/3.8%</t>
    <phoneticPr fontId="8" type="noConversion"/>
  </si>
  <si>
    <t>1.4%/3.2%</t>
    <phoneticPr fontId="8" type="noConversion"/>
  </si>
  <si>
    <t>2.4%/3.8%/4.4%</t>
    <phoneticPr fontId="25" type="noConversion"/>
  </si>
  <si>
    <t>1.4%/3.2%</t>
    <phoneticPr fontId="25" type="noConversion"/>
  </si>
  <si>
    <t>-1.92%/1.95%</t>
    <phoneticPr fontId="25" type="noConversion"/>
  </si>
  <si>
    <t>94.82%/95.16%/94.52%</t>
    <phoneticPr fontId="25" type="noConversion"/>
  </si>
  <si>
    <t>输入频率范围(Hz)</t>
    <phoneticPr fontId="25" type="noConversion"/>
  </si>
  <si>
    <t>ECO模式转换时间</t>
    <phoneticPr fontId="25" type="noConversion"/>
  </si>
  <si>
    <t>无此功能</t>
    <phoneticPr fontId="25" type="noConversion"/>
  </si>
  <si>
    <t>音频噪音
（dB）</t>
    <phoneticPr fontId="25" type="noConversion"/>
  </si>
  <si>
    <t>单相：176~264</t>
  </si>
  <si>
    <t>0.995/0.991/0.983</t>
  </si>
  <si>
    <t>0.995/0.991/0.983</t>
    <phoneticPr fontId="25" type="noConversion"/>
  </si>
  <si>
    <t>2.5%/3.0%/3.4%</t>
  </si>
  <si>
    <t>2.5%/3.0%/3.4%</t>
    <phoneticPr fontId="6" type="noConversion"/>
  </si>
  <si>
    <t>输入频率范围
(Hz)</t>
    <phoneticPr fontId="25" type="noConversion"/>
  </si>
  <si>
    <t>40~70</t>
  </si>
  <si>
    <t>40~70</t>
    <phoneticPr fontId="25" type="noConversion"/>
  </si>
  <si>
    <t>1.0%/2.8%</t>
  </si>
  <si>
    <t>1.0%/2.8%</t>
    <phoneticPr fontId="6" type="noConversion"/>
  </si>
  <si>
    <t>-2.27%/1.73%</t>
  </si>
  <si>
    <t>-2.27%/1.73%</t>
    <phoneticPr fontId="25" type="noConversion"/>
  </si>
  <si>
    <t>旁路逆变转换时间</t>
    <phoneticPr fontId="25" type="noConversion"/>
  </si>
  <si>
    <t>96.72%/96.33%/96.15%</t>
  </si>
  <si>
    <t>96.72%/96.33%/96.15%</t>
    <phoneticPr fontId="25" type="noConversion"/>
  </si>
  <si>
    <t>三相：285~476</t>
  </si>
  <si>
    <t>三相：285~476</t>
    <phoneticPr fontId="25" type="noConversion"/>
  </si>
  <si>
    <t>0.995/0.991/0.985</t>
  </si>
  <si>
    <t>2.9%/3.2%/5.0%</t>
  </si>
  <si>
    <t>2.9%/3.2%/5.0%</t>
    <phoneticPr fontId="25" type="noConversion"/>
  </si>
  <si>
    <t>45~55</t>
  </si>
  <si>
    <t>45~55</t>
    <phoneticPr fontId="25" type="noConversion"/>
  </si>
  <si>
    <t>45~55可调</t>
  </si>
  <si>
    <t>0.9%/2.2%</t>
  </si>
  <si>
    <t>0.18%/0.99%</t>
  </si>
  <si>
    <t>平衡/不平衡</t>
    <phoneticPr fontId="6" type="noConversion"/>
  </si>
  <si>
    <t>-2.36%/1.59%</t>
  </si>
  <si>
    <t>0.1°</t>
  </si>
  <si>
    <t>97.13%/96.58%/96.11%</t>
  </si>
  <si>
    <t>满载效率</t>
    <phoneticPr fontId="6" type="noConversion"/>
  </si>
  <si>
    <t>2.5%/3.0%</t>
  </si>
  <si>
    <t>2.5%/3.0%</t>
    <phoneticPr fontId="6" type="noConversion"/>
  </si>
  <si>
    <t>可选SNMP卡或Modbus卡</t>
    <phoneticPr fontId="6" type="noConversion"/>
  </si>
  <si>
    <t>2.9%/3.2%</t>
  </si>
  <si>
    <t>电池34/32节时输出功率降额至 90%；30节时输出功率降额至 80%</t>
    <phoneticPr fontId="6" type="noConversion"/>
  </si>
  <si>
    <t>泰山UT-0100TCL-6P</t>
    <phoneticPr fontId="25" type="noConversion"/>
  </si>
  <si>
    <t>10KVA-6 脉冲，工频塔式，C版</t>
    <phoneticPr fontId="25" type="noConversion"/>
  </si>
  <si>
    <t>泰山UT-0200TCL-6P</t>
    <phoneticPr fontId="25" type="noConversion"/>
  </si>
  <si>
    <t>20KVA-6 脉冲，工频塔式，C版</t>
    <phoneticPr fontId="8" type="noConversion"/>
  </si>
  <si>
    <t>泰山UT-0300TAL-12P</t>
    <phoneticPr fontId="8" type="noConversion"/>
  </si>
  <si>
    <t>泰山UT-0300TCL-6P</t>
    <phoneticPr fontId="25" type="noConversion"/>
  </si>
  <si>
    <t>30KVA-6 脉冲，工频塔式，C版</t>
    <phoneticPr fontId="8" type="noConversion"/>
  </si>
  <si>
    <t>泰山UT-0400TAL-12P</t>
    <phoneticPr fontId="25" type="noConversion"/>
  </si>
  <si>
    <t>泰山UT-0400TCL-6P</t>
    <phoneticPr fontId="25" type="noConversion"/>
  </si>
  <si>
    <t>40KVA-12 脉冲，工频塔式</t>
    <phoneticPr fontId="8" type="noConversion"/>
  </si>
  <si>
    <t>40KVA-6 脉冲，工频塔式，C版</t>
    <phoneticPr fontId="8" type="noConversion"/>
  </si>
  <si>
    <t>泰山UT-0600TAL-12P</t>
    <phoneticPr fontId="25" type="noConversion"/>
  </si>
  <si>
    <t>泰山UT-0600TCL-6P</t>
    <phoneticPr fontId="25" type="noConversion"/>
  </si>
  <si>
    <t>60KVA-6 脉冲，工频塔式，C版</t>
    <phoneticPr fontId="8" type="noConversion"/>
  </si>
  <si>
    <t>泰山UT-0800TCL-6P</t>
    <phoneticPr fontId="25" type="noConversion"/>
  </si>
  <si>
    <t>80KVA-6 脉冲，工频塔式，C版</t>
    <phoneticPr fontId="25" type="noConversion"/>
  </si>
  <si>
    <t>泰山UT-1000TCL-6P</t>
    <phoneticPr fontId="25" type="noConversion"/>
  </si>
  <si>
    <t>100KVA-6 脉冲，工频塔式，C版</t>
    <phoneticPr fontId="25" type="noConversion"/>
  </si>
  <si>
    <t>泰山UT-1200TCL-6P</t>
    <phoneticPr fontId="25" type="noConversion"/>
  </si>
  <si>
    <t>120KVA-6 脉冲，工频塔式，C版</t>
    <phoneticPr fontId="25" type="noConversion"/>
  </si>
  <si>
    <t>泰山UT-1600TCL-6P</t>
    <phoneticPr fontId="25" type="noConversion"/>
  </si>
  <si>
    <t>160KVA-6 脉冲，工频塔式，C版</t>
    <phoneticPr fontId="25" type="noConversion"/>
  </si>
  <si>
    <t>泰山UT-2000TCL-6P</t>
    <phoneticPr fontId="25" type="noConversion"/>
  </si>
  <si>
    <t>200KVA-6 脉冲，工频塔式，C版</t>
    <phoneticPr fontId="25" type="noConversion"/>
  </si>
  <si>
    <t>三相:285~476</t>
  </si>
  <si>
    <t>三相:285~476</t>
    <phoneticPr fontId="25" type="noConversion"/>
  </si>
  <si>
    <t>0.973/0.962/0.947</t>
  </si>
  <si>
    <t>0.973/0.962/0.947</t>
    <phoneticPr fontId="25" type="noConversion"/>
  </si>
  <si>
    <t>4.5%/6.3%/8.9%</t>
  </si>
  <si>
    <t>4.5%/6.3%/8.9%</t>
    <phoneticPr fontId="8" type="noConversion"/>
  </si>
  <si>
    <t>4.5%/6.3%/8.9%</t>
    <phoneticPr fontId="25" type="noConversion"/>
  </si>
  <si>
    <t>输入频率范围
（Hz）</t>
    <phoneticPr fontId="25" type="noConversion"/>
  </si>
  <si>
    <t>0.5%/2.3%</t>
  </si>
  <si>
    <t>0.5%/2.3%</t>
    <phoneticPr fontId="8" type="noConversion"/>
  </si>
  <si>
    <t>0.5%/2.3%</t>
    <phoneticPr fontId="25" type="noConversion"/>
  </si>
  <si>
    <t>0.14%/0.76%</t>
  </si>
  <si>
    <t>0.14%/0.76%</t>
    <phoneticPr fontId="25" type="noConversion"/>
  </si>
  <si>
    <t>-2.54%/0.91%</t>
  </si>
  <si>
    <t>-2.54%/0.91%</t>
    <phoneticPr fontId="25" type="noConversion"/>
  </si>
  <si>
    <t>0.01/0.01</t>
    <phoneticPr fontId="25" type="noConversion"/>
  </si>
  <si>
    <t>95.47%/95.01%/93.59%</t>
  </si>
  <si>
    <t>95.47%/95.01%/93.59%</t>
    <phoneticPr fontId="25" type="noConversion"/>
  </si>
  <si>
    <t>0.977/0.964/0.952</t>
  </si>
  <si>
    <t>4.3%/6.5%/8.8%</t>
  </si>
  <si>
    <t>0.5%/2.7%</t>
  </si>
  <si>
    <t>0.5%/2.7%</t>
    <phoneticPr fontId="8" type="noConversion"/>
  </si>
  <si>
    <t>0.28%/0.82%</t>
  </si>
  <si>
    <t>-2.45%/1.34%</t>
  </si>
  <si>
    <t>95.62%/95.38%/95.04%</t>
  </si>
  <si>
    <t>泰山UT-0100TCL-6P</t>
    <phoneticPr fontId="8" type="noConversion"/>
  </si>
  <si>
    <t>泰山UT-0200TCL-6P</t>
    <phoneticPr fontId="8" type="noConversion"/>
  </si>
  <si>
    <t xml:space="preserve">泰山UT 10KVA 6P+5th </t>
    <phoneticPr fontId="8" type="noConversion"/>
  </si>
  <si>
    <t>泰山UT-0150TAL-6P</t>
    <phoneticPr fontId="8" type="noConversion"/>
  </si>
  <si>
    <t>泰山UT-0400TAL-12P</t>
    <phoneticPr fontId="10" type="noConversion"/>
  </si>
  <si>
    <t>泰山UT-0400TAL-6P+5th</t>
    <phoneticPr fontId="8" type="noConversion"/>
  </si>
  <si>
    <t>泰山UT-0300TAL-12P+11th</t>
    <phoneticPr fontId="8" type="noConversion"/>
  </si>
  <si>
    <t>泰山UT-0300TAL-6P+5th</t>
    <phoneticPr fontId="8" type="noConversion"/>
  </si>
  <si>
    <t>泰山UT-0200TAL-6P+5th</t>
    <phoneticPr fontId="8" type="noConversion"/>
  </si>
  <si>
    <t>泰山UT-0150TAL-6P+5th</t>
    <phoneticPr fontId="8" type="noConversion"/>
  </si>
  <si>
    <t>泰山UT-0300TCL-6P</t>
    <phoneticPr fontId="8" type="noConversion"/>
  </si>
  <si>
    <t>泰山UT-0400TCL-6P</t>
    <phoneticPr fontId="8" type="noConversion"/>
  </si>
  <si>
    <t>泰山UT-0400TAL-12P+11th</t>
    <phoneticPr fontId="8" type="noConversion"/>
  </si>
  <si>
    <t>泰山UT-0600TCL-6P</t>
    <phoneticPr fontId="8" type="noConversion"/>
  </si>
  <si>
    <t>泰山UT-0600TAL-12P+11th</t>
    <phoneticPr fontId="8" type="noConversion"/>
  </si>
  <si>
    <t>泰山UT-0600TAL-12P</t>
    <phoneticPr fontId="8" type="noConversion"/>
  </si>
  <si>
    <t xml:space="preserve">泰山UT-0600TAL-6P+5th </t>
    <phoneticPr fontId="8" type="noConversion"/>
  </si>
  <si>
    <t>泰山UT-0800TCL-6P</t>
    <phoneticPr fontId="8" type="noConversion"/>
  </si>
  <si>
    <t>泰山UT-2000TCL-6P</t>
    <phoneticPr fontId="8" type="noConversion"/>
  </si>
  <si>
    <t>泰山UT-1600TCL-6P</t>
    <phoneticPr fontId="8" type="noConversion"/>
  </si>
  <si>
    <t>泰山UT-1200TCL-6P</t>
    <phoneticPr fontId="8" type="noConversion"/>
  </si>
  <si>
    <t>泰山UT-1000TCL-6P</t>
    <phoneticPr fontId="8" type="noConversion"/>
  </si>
  <si>
    <t>10KVA-6 脉冲，工频塔式，C版</t>
    <phoneticPr fontId="8" type="noConversion"/>
  </si>
  <si>
    <t>80KVA-6 脉冲，工频塔式，C版</t>
    <phoneticPr fontId="8" type="noConversion"/>
  </si>
  <si>
    <t>100KVA-6 脉冲，工频塔式，C版</t>
    <phoneticPr fontId="8" type="noConversion"/>
  </si>
  <si>
    <t>120KVA-6 脉冲，工频塔式，C版</t>
    <phoneticPr fontId="8" type="noConversion"/>
  </si>
  <si>
    <t>160KVA-6 脉冲，工频塔式，C版</t>
    <phoneticPr fontId="8" type="noConversion"/>
  </si>
  <si>
    <t>200KVA-6 脉冲，工频塔式，C版</t>
    <phoneticPr fontId="8" type="noConversion"/>
  </si>
  <si>
    <t>泰山UT-1000TAL-6P+5th</t>
    <phoneticPr fontId="10" type="noConversion"/>
  </si>
  <si>
    <t>泰山UT-1000TAL-12P+11th</t>
    <phoneticPr fontId="10" type="noConversion"/>
  </si>
  <si>
    <t>泰山UT-1200TAL-6P+5th</t>
    <phoneticPr fontId="8" type="noConversion"/>
  </si>
  <si>
    <t>泰山UT-1200TAL-12P+11th</t>
    <phoneticPr fontId="10" type="noConversion"/>
  </si>
  <si>
    <t>泰山UT-1600TAL-6P+5th</t>
    <phoneticPr fontId="10" type="noConversion"/>
  </si>
  <si>
    <t>泰山UT-1600TAL-12P+11th</t>
    <phoneticPr fontId="10" type="noConversion"/>
  </si>
  <si>
    <t>泰山UT-2000TAL-6P+5th</t>
    <phoneticPr fontId="10" type="noConversion"/>
  </si>
  <si>
    <t>泰山UT-2000TAL-12P+11th</t>
    <phoneticPr fontId="10" type="noConversion"/>
  </si>
  <si>
    <t>泰山UT-2500TAL-6P+5th</t>
    <phoneticPr fontId="10" type="noConversion"/>
  </si>
  <si>
    <t>泰山UT-2500TAL-12P+11th</t>
    <phoneticPr fontId="10" type="noConversion"/>
  </si>
  <si>
    <t>泰山UT-3000TAL-6P+5th</t>
    <phoneticPr fontId="10" type="noConversion"/>
  </si>
  <si>
    <t>泰山UT-3000TAL-12P+11th</t>
    <phoneticPr fontId="10" type="noConversion"/>
  </si>
  <si>
    <t>泰山UT-4000TAL-6P+5th</t>
    <phoneticPr fontId="8" type="noConversion"/>
  </si>
  <si>
    <t>泰山UT-4000TAL-12P+11th</t>
    <phoneticPr fontId="8" type="noConversion"/>
  </si>
  <si>
    <t>泰山UT-5000TAL-12P+11th</t>
    <phoneticPr fontId="8" type="noConversion"/>
  </si>
  <si>
    <t>泰山UT-6000TAL-12P+11th</t>
    <phoneticPr fontId="8" type="noConversion"/>
  </si>
  <si>
    <t>泰山UT-8000TAL-12P+11th</t>
    <phoneticPr fontId="8" type="noConversion"/>
  </si>
  <si>
    <t>满载效率</t>
    <phoneticPr fontId="8" type="noConversion"/>
  </si>
  <si>
    <t>LCD3.5，可选7</t>
    <phoneticPr fontId="8" type="noConversion"/>
  </si>
  <si>
    <t>自带BCB总开关</t>
    <phoneticPr fontId="8" type="noConversion"/>
  </si>
  <si>
    <t>4.5%/6.3%</t>
    <phoneticPr fontId="8" type="noConversion"/>
  </si>
  <si>
    <r>
      <t>29-</t>
    </r>
    <r>
      <rPr>
        <sz val="11"/>
        <color rgb="FFFF0000"/>
        <rFont val="微软雅黑"/>
        <family val="2"/>
        <charset val="134"/>
      </rPr>
      <t>32</t>
    </r>
    <phoneticPr fontId="8" type="noConversion"/>
  </si>
  <si>
    <t>前部向下</t>
    <phoneticPr fontId="8" type="noConversion"/>
  </si>
  <si>
    <t>昆仑UE-2000TAL-1</t>
    <phoneticPr fontId="8" type="noConversion"/>
  </si>
  <si>
    <t xml:space="preserve">昆仑UE-3000TAL-1 </t>
    <phoneticPr fontId="8" type="noConversion"/>
  </si>
  <si>
    <t xml:space="preserve">昆仑UE-4000TAL-F-1 </t>
    <phoneticPr fontId="8" type="noConversion"/>
  </si>
  <si>
    <t>昆仑UE-5000TAL-F-1</t>
    <phoneticPr fontId="8" type="noConversion"/>
  </si>
  <si>
    <t>昆仑UE-6000TAL-F-1</t>
    <phoneticPr fontId="8" type="noConversion"/>
  </si>
  <si>
    <t>昆仑UE-8000TAL-F-1</t>
    <phoneticPr fontId="8" type="noConversion"/>
  </si>
  <si>
    <t>昆仑UE-1000TAL-1</t>
    <phoneticPr fontId="8" type="noConversion"/>
  </si>
  <si>
    <t>昆仑UE-1000TAL-1</t>
    <phoneticPr fontId="25" type="noConversion"/>
  </si>
  <si>
    <r>
      <t>UE-20kVA-三相四线-含</t>
    </r>
    <r>
      <rPr>
        <sz val="11"/>
        <color rgb="FFFF0000"/>
        <rFont val="微软雅黑"/>
        <family val="2"/>
        <charset val="134"/>
      </rPr>
      <t>3</t>
    </r>
    <r>
      <rPr>
        <sz val="11"/>
        <color theme="1"/>
        <rFont val="微软雅黑"/>
        <family val="2"/>
        <charset val="134"/>
      </rPr>
      <t>开关、无旁路开关</t>
    </r>
    <phoneticPr fontId="8" type="noConversion"/>
  </si>
  <si>
    <r>
      <t>UE-30kVA-三相四线-含</t>
    </r>
    <r>
      <rPr>
        <sz val="11"/>
        <color rgb="FFFF0000"/>
        <rFont val="微软雅黑"/>
        <family val="2"/>
        <charset val="134"/>
      </rPr>
      <t>3</t>
    </r>
    <r>
      <rPr>
        <sz val="11"/>
        <color theme="1"/>
        <rFont val="微软雅黑"/>
        <family val="2"/>
        <charset val="134"/>
      </rPr>
      <t>开关、无旁路开关</t>
    </r>
    <phoneticPr fontId="25" type="noConversion"/>
  </si>
  <si>
    <t>UE-40kVA-三相四线-含4开关</t>
    <phoneticPr fontId="25" type="noConversion"/>
  </si>
  <si>
    <t>UE-60kVA-三相四线-含4开关</t>
    <phoneticPr fontId="25" type="noConversion"/>
  </si>
  <si>
    <t>UE-80kVA-三相四线-含4开关</t>
    <phoneticPr fontId="25" type="noConversion"/>
  </si>
  <si>
    <t>UE-100kVA-三相四线-含4开关</t>
    <phoneticPr fontId="8" type="noConversion"/>
  </si>
  <si>
    <t>UE-120kVA-三相四线-含4开关</t>
    <phoneticPr fontId="25" type="noConversion"/>
  </si>
  <si>
    <t>UE-160kVA-三相四线-含4开关</t>
    <phoneticPr fontId="25" type="noConversion"/>
  </si>
  <si>
    <t>UE 200KVA，只含维修旁路开关</t>
    <phoneticPr fontId="25" type="noConversion"/>
  </si>
  <si>
    <t>UE 300KVA，只含维修旁路开关</t>
    <phoneticPr fontId="25" type="noConversion"/>
  </si>
  <si>
    <t>UE 400KVA，含 4 个开关-隔离负荷开关</t>
    <phoneticPr fontId="25" type="noConversion"/>
  </si>
  <si>
    <t>UE 500KVA，含 4 个开关-隔离负荷开关</t>
    <phoneticPr fontId="25" type="noConversion"/>
  </si>
  <si>
    <t>UE 600KVA，含 4 个开关-隔离负荷开关</t>
    <phoneticPr fontId="25" type="noConversion"/>
  </si>
  <si>
    <t>UE 800KVA，含 4 个开关-隔离负荷开关</t>
    <phoneticPr fontId="25" type="noConversion"/>
  </si>
  <si>
    <t>0.995/0.992/0.984</t>
  </si>
  <si>
    <t>0.995/0.992/0.984</t>
    <phoneticPr fontId="25" type="noConversion"/>
  </si>
  <si>
    <t>2.9%/3.2%/5.0%</t>
    <phoneticPr fontId="8" type="noConversion"/>
  </si>
  <si>
    <t>1.0%/2.9%</t>
  </si>
  <si>
    <t>1.0%/2.9%</t>
    <phoneticPr fontId="8" type="noConversion"/>
  </si>
  <si>
    <t>1.0%/2.9%</t>
    <phoneticPr fontId="25" type="noConversion"/>
  </si>
  <si>
    <t>-2.18%/1.86%</t>
  </si>
  <si>
    <t>-2.18%/1.86%</t>
    <phoneticPr fontId="25" type="noConversion"/>
  </si>
  <si>
    <t>96.65%/96.37%/96.02%</t>
  </si>
  <si>
    <t>96.65%/96.37%/96.02%</t>
    <phoneticPr fontId="6" type="noConversion"/>
  </si>
  <si>
    <t>96.65%/96.37%/96.02%</t>
    <phoneticPr fontId="25" type="noConversion"/>
  </si>
  <si>
    <t>0.996/0.991/0.986</t>
  </si>
  <si>
    <t>0.996/0.991/0.986</t>
    <phoneticPr fontId="25" type="noConversion"/>
  </si>
  <si>
    <t>3.0%/4.9%/7.6%</t>
  </si>
  <si>
    <t>3.0%/4.9%/7.6%</t>
    <phoneticPr fontId="25" type="noConversion"/>
  </si>
  <si>
    <t>0.8%/2.9%</t>
  </si>
  <si>
    <t>0.8%/2.9%</t>
    <phoneticPr fontId="8" type="noConversion"/>
  </si>
  <si>
    <t>0.8%/2.9%</t>
    <phoneticPr fontId="25" type="noConversion"/>
  </si>
  <si>
    <t>0.28%/1.25%</t>
  </si>
  <si>
    <t>0.28%/1.25%</t>
    <phoneticPr fontId="25" type="noConversion"/>
  </si>
  <si>
    <t>-2.59%/0.91%</t>
  </si>
  <si>
    <t>-2.59%/0.91%</t>
    <phoneticPr fontId="25" type="noConversion"/>
  </si>
  <si>
    <t>96.39%/96.08%/95.47%</t>
  </si>
  <si>
    <t>96.39%/96.08%/95.47%</t>
    <phoneticPr fontId="25" type="noConversion"/>
  </si>
  <si>
    <t>0.999/0.993/0.991</t>
  </si>
  <si>
    <t>0.999/0.993/0.991</t>
    <phoneticPr fontId="25" type="noConversion"/>
  </si>
  <si>
    <t>1.2%/1.6%/2.8%</t>
  </si>
  <si>
    <t>1.2%/1.6%/2.8%</t>
    <phoneticPr fontId="8" type="noConversion"/>
  </si>
  <si>
    <t>0.8%/1.7%</t>
  </si>
  <si>
    <t>0.8%/1.7%</t>
    <phoneticPr fontId="8" type="noConversion"/>
  </si>
  <si>
    <t>0.31%/1.53%</t>
  </si>
  <si>
    <t>0.31%/1.53%</t>
    <phoneticPr fontId="25" type="noConversion"/>
  </si>
  <si>
    <t>-3.23%/1.09%</t>
  </si>
  <si>
    <t>-3.23%/1.09%</t>
    <phoneticPr fontId="25" type="noConversion"/>
  </si>
  <si>
    <t>96.71%/96.52%/96.57%</t>
  </si>
  <si>
    <t>96.71%/96.52%/96.57%</t>
    <phoneticPr fontId="25" type="noConversion"/>
  </si>
  <si>
    <t>UE-40kVA-三相四线-含4开关</t>
    <phoneticPr fontId="8" type="noConversion"/>
  </si>
  <si>
    <r>
      <t>UE-30kVA-三相四线-含</t>
    </r>
    <r>
      <rPr>
        <sz val="11"/>
        <color rgb="FFFF0000"/>
        <rFont val="微软雅黑"/>
        <family val="2"/>
        <charset val="134"/>
      </rPr>
      <t>3</t>
    </r>
    <r>
      <rPr>
        <sz val="11"/>
        <color theme="1"/>
        <rFont val="微软雅黑"/>
        <family val="2"/>
        <charset val="134"/>
      </rPr>
      <t>开关、无旁路开关</t>
    </r>
    <phoneticPr fontId="8" type="noConversion"/>
  </si>
  <si>
    <t>UE-60kVA-三相四线-含4开关</t>
    <phoneticPr fontId="8" type="noConversion"/>
  </si>
  <si>
    <t>UE-80kVA-三相四线-含4开关</t>
    <phoneticPr fontId="8" type="noConversion"/>
  </si>
  <si>
    <t>UE-120kVA-三相四线-含4开关</t>
    <phoneticPr fontId="8" type="noConversion"/>
  </si>
  <si>
    <t>UE-160kVA-三相四线-含4开关</t>
    <phoneticPr fontId="8" type="noConversion"/>
  </si>
  <si>
    <t>UE 200KVA，只含维修旁路开关</t>
    <phoneticPr fontId="8" type="noConversion"/>
  </si>
  <si>
    <t>UE 400KVA，含 4 个开关-隔离负荷开关</t>
    <phoneticPr fontId="8" type="noConversion"/>
  </si>
  <si>
    <t>UE 300KVA，只含维修旁路开关</t>
    <phoneticPr fontId="8" type="noConversion"/>
  </si>
  <si>
    <t>UE 500KVA，含 4 个开关-隔离负荷开关</t>
    <phoneticPr fontId="8" type="noConversion"/>
  </si>
  <si>
    <t>UE 600KVA，含 4 个开关-隔离负荷开关</t>
    <phoneticPr fontId="8" type="noConversion"/>
  </si>
  <si>
    <t>UE 800KVA，含 4 个开关-隔离负荷开关</t>
    <phoneticPr fontId="8" type="noConversion"/>
  </si>
  <si>
    <t>2.9%/3.2%</t>
    <phoneticPr fontId="8" type="noConversion"/>
  </si>
  <si>
    <t>3.0%/4.9%</t>
  </si>
  <si>
    <t>3.0%/4.9%</t>
    <phoneticPr fontId="8" type="noConversion"/>
  </si>
  <si>
    <r>
      <t xml:space="preserve">祁连UM-1250TFL-FF
</t>
    </r>
    <r>
      <rPr>
        <sz val="11"/>
        <color rgb="FFFF0000"/>
        <rFont val="微软雅黑"/>
        <family val="2"/>
        <charset val="134"/>
      </rPr>
      <t>祁连UM-0250TFL-M</t>
    </r>
    <phoneticPr fontId="8" type="noConversion"/>
  </si>
  <si>
    <r>
      <t xml:space="preserve">祁连UM-2000TFL-FF/2
</t>
    </r>
    <r>
      <rPr>
        <sz val="11"/>
        <color rgb="FFFF0000"/>
        <rFont val="微软雅黑"/>
        <family val="2"/>
        <charset val="134"/>
      </rPr>
      <t>祁连UM-0200TFL-M</t>
    </r>
    <phoneticPr fontId="8" type="noConversion"/>
  </si>
  <si>
    <r>
      <t xml:space="preserve">祁连UM-2000TFL-FS/2
</t>
    </r>
    <r>
      <rPr>
        <sz val="11"/>
        <color rgb="FFFF0000"/>
        <rFont val="微软雅黑"/>
        <family val="2"/>
        <charset val="134"/>
      </rPr>
      <t>祁连UM-0200TFL-M</t>
    </r>
    <phoneticPr fontId="8" type="noConversion"/>
  </si>
  <si>
    <r>
      <t xml:space="preserve">祁连UM-1200TFL-FF/2
</t>
    </r>
    <r>
      <rPr>
        <sz val="11"/>
        <color rgb="FFFF0000"/>
        <rFont val="微软雅黑"/>
        <family val="2"/>
        <charset val="134"/>
      </rPr>
      <t>祁连UM-0200TFL-M</t>
    </r>
    <phoneticPr fontId="8" type="noConversion"/>
  </si>
  <si>
    <r>
      <t xml:space="preserve">祁连UM-1200TFL-FS/2
</t>
    </r>
    <r>
      <rPr>
        <sz val="11"/>
        <color rgb="FFFF0000"/>
        <rFont val="微软雅黑"/>
        <family val="2"/>
        <charset val="134"/>
      </rPr>
      <t>祁连UM-0200TFL-M</t>
    </r>
    <phoneticPr fontId="8" type="noConversion"/>
  </si>
  <si>
    <r>
      <t xml:space="preserve">祁连UM-0900TFL-FS/15
</t>
    </r>
    <r>
      <rPr>
        <sz val="11"/>
        <color rgb="FFFF0000"/>
        <rFont val="微软雅黑"/>
        <family val="2"/>
        <charset val="134"/>
      </rPr>
      <t>祁连UM-0150TFL-M</t>
    </r>
    <phoneticPr fontId="8" type="noConversion"/>
  </si>
  <si>
    <r>
      <t xml:space="preserve">祁连UM-0900TFL-D
</t>
    </r>
    <r>
      <rPr>
        <sz val="11"/>
        <color rgb="FFFF0000"/>
        <rFont val="微软雅黑"/>
        <family val="2"/>
        <charset val="134"/>
      </rPr>
      <t>祁连UM-0150TFL-M</t>
    </r>
    <phoneticPr fontId="8" type="noConversion"/>
  </si>
  <si>
    <r>
      <t xml:space="preserve">祁连UM-0900TFL-S
</t>
    </r>
    <r>
      <rPr>
        <sz val="11"/>
        <color rgb="FFFF0000"/>
        <rFont val="微软雅黑"/>
        <family val="2"/>
        <charset val="134"/>
      </rPr>
      <t>祁连UM-0150TFL-M</t>
    </r>
    <phoneticPr fontId="8" type="noConversion"/>
  </si>
  <si>
    <r>
      <t xml:space="preserve">祁连UM-1800TFL-FS/3
</t>
    </r>
    <r>
      <rPr>
        <sz val="11"/>
        <color rgb="FFFF0000"/>
        <rFont val="微软雅黑"/>
        <family val="2"/>
        <charset val="134"/>
      </rPr>
      <t>祁连UM-0300TFL-M</t>
    </r>
    <phoneticPr fontId="8" type="noConversion"/>
  </si>
  <si>
    <r>
      <t xml:space="preserve">祁连UM-1250TFL-D
</t>
    </r>
    <r>
      <rPr>
        <sz val="11"/>
        <color rgb="FFFF0000"/>
        <rFont val="微软雅黑"/>
        <family val="2"/>
        <charset val="134"/>
      </rPr>
      <t>祁连UM-0250TFL-M
祁连UM-0300TFL-M</t>
    </r>
    <phoneticPr fontId="8" type="noConversion"/>
  </si>
  <si>
    <r>
      <t xml:space="preserve">祁连UM-1250TFL-S
</t>
    </r>
    <r>
      <rPr>
        <sz val="11"/>
        <color rgb="FFFF0000"/>
        <rFont val="微软雅黑"/>
        <family val="2"/>
        <charset val="134"/>
      </rPr>
      <t>祁连UM-0250TFL-M
祁连UM-0300TFL-M</t>
    </r>
    <phoneticPr fontId="8" type="noConversion"/>
  </si>
  <si>
    <r>
      <t xml:space="preserve">祁连UM-1800TFL-FF/3
</t>
    </r>
    <r>
      <rPr>
        <sz val="11"/>
        <color rgb="FFFF0000"/>
        <rFont val="微软雅黑"/>
        <family val="2"/>
        <charset val="134"/>
      </rPr>
      <t>祁连UM-0300TFL-M</t>
    </r>
    <phoneticPr fontId="8" type="noConversion"/>
  </si>
  <si>
    <r>
      <t xml:space="preserve">祁连UM-3000TFL-FS/3
</t>
    </r>
    <r>
      <rPr>
        <sz val="11"/>
        <color rgb="FFFF0000"/>
        <rFont val="微软雅黑"/>
        <family val="2"/>
        <charset val="134"/>
      </rPr>
      <t>祁连UM-0300TFL-M</t>
    </r>
    <phoneticPr fontId="8" type="noConversion"/>
  </si>
  <si>
    <r>
      <t xml:space="preserve">祁连UM-3000TFL-FF/3
</t>
    </r>
    <r>
      <rPr>
        <sz val="11"/>
        <color rgb="FFFF0000"/>
        <rFont val="微软雅黑"/>
        <family val="2"/>
        <charset val="134"/>
      </rPr>
      <t>祁连UM-0300TFL-M</t>
    </r>
    <phoneticPr fontId="8" type="noConversion"/>
  </si>
  <si>
    <r>
      <t xml:space="preserve">祁连UM-2000TAL-FS/5-1
</t>
    </r>
    <r>
      <rPr>
        <sz val="11"/>
        <color rgb="FFFF0000"/>
        <rFont val="微软雅黑"/>
        <family val="2"/>
        <charset val="134"/>
      </rPr>
      <t>祁连UM-0500TFL-M</t>
    </r>
    <phoneticPr fontId="8" type="noConversion"/>
  </si>
  <si>
    <r>
      <t xml:space="preserve">祁连UM-8000TAL-FF/5-1
</t>
    </r>
    <r>
      <rPr>
        <sz val="11"/>
        <color rgb="FFFF0000"/>
        <rFont val="微软雅黑"/>
        <family val="2"/>
        <charset val="134"/>
      </rPr>
      <t>祁连UM-0500TFL-M</t>
    </r>
    <phoneticPr fontId="8" type="noConversion"/>
  </si>
  <si>
    <r>
      <t xml:space="preserve">祁连UM-6000TAL-FF/5-1
</t>
    </r>
    <r>
      <rPr>
        <sz val="11"/>
        <color rgb="FFFF0000"/>
        <rFont val="微软雅黑"/>
        <family val="2"/>
        <charset val="134"/>
      </rPr>
      <t>祁连UM-0500TFL-M</t>
    </r>
    <phoneticPr fontId="8" type="noConversion"/>
  </si>
  <si>
    <r>
      <t xml:space="preserve">祁连UM-5000TAL-FF/5-1
</t>
    </r>
    <r>
      <rPr>
        <sz val="11"/>
        <color rgb="FFFF0000"/>
        <rFont val="微软雅黑"/>
        <family val="2"/>
        <charset val="134"/>
      </rPr>
      <t>祁连UM-0500TFL-M</t>
    </r>
    <phoneticPr fontId="8" type="noConversion"/>
  </si>
  <si>
    <r>
      <t xml:space="preserve">祁连UM-4000TAL-FF/5-1
</t>
    </r>
    <r>
      <rPr>
        <sz val="11"/>
        <color rgb="FFFF0000"/>
        <rFont val="微软雅黑"/>
        <family val="2"/>
        <charset val="134"/>
      </rPr>
      <t>祁连UM-0500TFL-M</t>
    </r>
    <phoneticPr fontId="8" type="noConversion"/>
  </si>
  <si>
    <r>
      <t xml:space="preserve">祁连UM-3000TAL-FS/5-1
</t>
    </r>
    <r>
      <rPr>
        <sz val="11"/>
        <color rgb="FFFF0000"/>
        <rFont val="微软雅黑"/>
        <family val="2"/>
        <charset val="134"/>
      </rPr>
      <t>祁连UM-0500TFL-M</t>
    </r>
    <phoneticPr fontId="8" type="noConversion"/>
  </si>
  <si>
    <r>
      <t xml:space="preserve">祁连UM-6000TFL-FS/100
</t>
    </r>
    <r>
      <rPr>
        <sz val="11"/>
        <color rgb="FFFF0000"/>
        <rFont val="微软雅黑"/>
        <family val="2"/>
        <charset val="134"/>
      </rPr>
      <t>祁连UM-1000TFL-M</t>
    </r>
    <phoneticPr fontId="8" type="noConversion"/>
  </si>
  <si>
    <t>祁连UM系列标配600kVA机柜(100kVA模块)，不含开关</t>
    <phoneticPr fontId="8" type="noConversion"/>
  </si>
  <si>
    <r>
      <t xml:space="preserve">祁连UM-6000TFL-FF/100
</t>
    </r>
    <r>
      <rPr>
        <sz val="11"/>
        <color rgb="FFFF0000"/>
        <rFont val="微软雅黑"/>
        <family val="2"/>
        <charset val="134"/>
      </rPr>
      <t>祁连UM-1000TFL-M</t>
    </r>
    <phoneticPr fontId="8" type="noConversion"/>
  </si>
  <si>
    <t>祁连UM系列满配600kVA机柜(100kVA模块)，含四开关</t>
    <phoneticPr fontId="8" type="noConversion"/>
  </si>
  <si>
    <t>线电压:285~476</t>
  </si>
  <si>
    <t>线电压:285~476</t>
    <phoneticPr fontId="25" type="noConversion"/>
  </si>
  <si>
    <t>0.999/0.998/0.996</t>
    <phoneticPr fontId="25" type="noConversion"/>
  </si>
  <si>
    <t>0.8%/1.5%/2.4%</t>
    <phoneticPr fontId="8" type="noConversion"/>
  </si>
  <si>
    <t>40~70</t>
    <phoneticPr fontId="6" type="noConversion"/>
  </si>
  <si>
    <t>0.8%/1.2%</t>
  </si>
  <si>
    <t>0.8%/1.2%</t>
    <phoneticPr fontId="8" type="noConversion"/>
  </si>
  <si>
    <t>0.23%/0.67%</t>
    <phoneticPr fontId="25" type="noConversion"/>
  </si>
  <si>
    <t>-2.82%/2.41%</t>
    <phoneticPr fontId="25" type="noConversion"/>
  </si>
  <si>
    <t>96.85%/96.53%/96.37%</t>
    <phoneticPr fontId="6" type="noConversion"/>
  </si>
  <si>
    <t>96.91%/96.83%/96.49%</t>
    <phoneticPr fontId="6" type="noConversion"/>
  </si>
  <si>
    <t>0.8%/1.5%/2.4%</t>
    <phoneticPr fontId="6" type="noConversion"/>
  </si>
  <si>
    <t>0.15%/0.49%</t>
    <phoneticPr fontId="6" type="noConversion"/>
  </si>
  <si>
    <t>-2.18%/2.18%</t>
    <phoneticPr fontId="6" type="noConversion"/>
  </si>
  <si>
    <t>96.90%/96.52%/96.11%</t>
    <phoneticPr fontId="6" type="noConversion"/>
  </si>
  <si>
    <t>97.12%/96.58%/96.35%</t>
    <phoneticPr fontId="6" type="noConversion"/>
  </si>
  <si>
    <t>0.7%/0.5%</t>
    <phoneticPr fontId="6" type="noConversion"/>
  </si>
  <si>
    <t>0.999/0.997/0.993</t>
    <phoneticPr fontId="6" type="noConversion"/>
  </si>
  <si>
    <t>1.6%/2.3%/2.9%</t>
    <phoneticPr fontId="6" type="noConversion"/>
  </si>
  <si>
    <t>0.7%/2.3%</t>
    <phoneticPr fontId="6" type="noConversion"/>
  </si>
  <si>
    <t>0.11%/0.93%</t>
    <phoneticPr fontId="6" type="noConversion"/>
  </si>
  <si>
    <t>-2.54%/2.13%</t>
    <phoneticPr fontId="6" type="noConversion"/>
  </si>
  <si>
    <t>96.70%/96.42%/96.10%</t>
    <phoneticPr fontId="6" type="noConversion"/>
  </si>
  <si>
    <t>96.92%/96.53%/96.34%</t>
    <phoneticPr fontId="6" type="noConversion"/>
  </si>
  <si>
    <t>0.5%/0.7%</t>
    <phoneticPr fontId="6" type="noConversion"/>
  </si>
  <si>
    <t>0.999/0.998/0.995</t>
    <phoneticPr fontId="6" type="noConversion"/>
  </si>
  <si>
    <t>1.5%/1.9%/2.4%</t>
    <phoneticPr fontId="6" type="noConversion"/>
  </si>
  <si>
    <t>0.8%/1.6%</t>
    <phoneticPr fontId="6" type="noConversion"/>
  </si>
  <si>
    <t>0.24%/0.95%</t>
    <phoneticPr fontId="6" type="noConversion"/>
  </si>
  <si>
    <t>-1.95%/1.91%</t>
    <phoneticPr fontId="6" type="noConversion"/>
  </si>
  <si>
    <t>97.10%/96.82%/96.58%</t>
    <phoneticPr fontId="6" type="noConversion"/>
  </si>
  <si>
    <t>97.52%/97.34%/97.17%</t>
    <phoneticPr fontId="6" type="noConversion"/>
  </si>
  <si>
    <t>1.2%/0.5%</t>
    <phoneticPr fontId="6" type="noConversion"/>
  </si>
  <si>
    <t>线电压:270~478</t>
    <phoneticPr fontId="6" type="noConversion"/>
  </si>
  <si>
    <t>39~71</t>
    <phoneticPr fontId="6" type="noConversion"/>
  </si>
  <si>
    <t>45~55可调</t>
    <phoneticPr fontId="6" type="noConversion"/>
  </si>
  <si>
    <t>0.999/0.998/0.998</t>
    <phoneticPr fontId="6" type="noConversion"/>
  </si>
  <si>
    <t>0.7%/1.2%/2.5%</t>
    <phoneticPr fontId="6" type="noConversion"/>
  </si>
  <si>
    <t>0.5%/1.0%</t>
    <phoneticPr fontId="6" type="noConversion"/>
  </si>
  <si>
    <t>0.11%/0.94%</t>
    <phoneticPr fontId="6" type="noConversion"/>
  </si>
  <si>
    <t>-1.22%/1.59%</t>
    <phoneticPr fontId="6" type="noConversion"/>
  </si>
  <si>
    <t>0.07/0.04</t>
    <phoneticPr fontId="6" type="noConversion"/>
  </si>
  <si>
    <t>97.06%/97.38%/97.48%</t>
    <phoneticPr fontId="6" type="noConversion"/>
  </si>
  <si>
    <t>97.11%/97.52%/97.56%</t>
    <phoneticPr fontId="6" type="noConversion"/>
  </si>
  <si>
    <t>0.5%/0.6%</t>
    <phoneticPr fontId="6" type="noConversion"/>
  </si>
  <si>
    <t>10LCD</t>
    <phoneticPr fontId="8" type="noConversion"/>
  </si>
  <si>
    <t>可选SNMP卡或Modbus卡</t>
    <phoneticPr fontId="8" type="noConversion"/>
  </si>
  <si>
    <t>4.3%/6.5%</t>
    <phoneticPr fontId="8" type="noConversion"/>
  </si>
  <si>
    <t>无EPO按键</t>
    <phoneticPr fontId="8" type="noConversion"/>
  </si>
  <si>
    <t>太行UR 3KVA D版，48VDC，支持锂电池</t>
    <phoneticPr fontId="6" type="noConversion"/>
  </si>
  <si>
    <t>太行UR 5KVA D版，48VDC，支持锂电池</t>
    <phoneticPr fontId="6" type="noConversion"/>
  </si>
  <si>
    <t>太行UR 6KVA D版，48VDC，支持锂电池</t>
    <phoneticPr fontId="6" type="noConversion"/>
  </si>
  <si>
    <r>
      <t>32</t>
    </r>
    <r>
      <rPr>
        <sz val="11"/>
        <color theme="1"/>
        <rFont val="微软雅黑"/>
        <family val="2"/>
        <charset val="134"/>
      </rPr>
      <t>-40</t>
    </r>
    <phoneticPr fontId="8" type="noConversion"/>
  </si>
  <si>
    <t>0.999/0.998/0.996</t>
    <phoneticPr fontId="6" type="noConversion"/>
  </si>
  <si>
    <t>祁连UM满配120kVA机柜，只含手动维修旁路开关</t>
    <phoneticPr fontId="6" type="noConversion"/>
  </si>
  <si>
    <t>祁连UM满配200kVA 机柜，只含手动维修旁路开关</t>
    <phoneticPr fontId="6" type="noConversion"/>
  </si>
  <si>
    <t>祁连UM满配120kVA 机柜，含输入开关、维修旁路开关和输出开关</t>
    <phoneticPr fontId="8" type="noConversion"/>
  </si>
  <si>
    <t>祁连UM满配200kVA 机柜，含输入开关、维修旁路开关和输出开关</t>
    <phoneticPr fontId="8" type="noConversion"/>
  </si>
  <si>
    <t>祁连UM满配180kVA 机柜，含输入开关、维修旁路开关和输出开关</t>
    <phoneticPr fontId="8" type="noConversion"/>
  </si>
  <si>
    <t>祁连UM满配300kVA机柜，只含维修旁路开关</t>
    <phoneticPr fontId="6" type="noConversion"/>
  </si>
  <si>
    <t>祁连UM满配300kVA 机柜，含输入开关、维修旁路开关和输出开关</t>
    <phoneticPr fontId="8" type="noConversion"/>
  </si>
  <si>
    <t>祁连UM一体化UPS-90KVA双路输入（ATS）-含UPS 输入输出-4 路空调-3 路照明-40 路 IT 配电</t>
    <phoneticPr fontId="8" type="noConversion"/>
  </si>
  <si>
    <t>祁连UM一体化UPS-90KVA单路输入（MCCB）-含UPS 输入输出-4 路空调-3 路照明-40 路 IT 配电</t>
    <phoneticPr fontId="8" type="noConversion"/>
  </si>
  <si>
    <t>使用15kVA功率模块参数</t>
    <phoneticPr fontId="25" type="noConversion"/>
  </si>
  <si>
    <t>使用25/30kVA功率模块参数</t>
    <phoneticPr fontId="6" type="noConversion"/>
  </si>
  <si>
    <t>祁连UM满配120kVA 机柜，只含手动维修旁路开关</t>
    <phoneticPr fontId="8" type="noConversion"/>
  </si>
  <si>
    <t>祁连UM满配200kVA 机柜，只含手动维修旁路开关</t>
    <phoneticPr fontId="8" type="noConversion"/>
  </si>
  <si>
    <t>祁连UM满配300kVA 机柜，只含手动维修旁路开关</t>
    <phoneticPr fontId="8" type="noConversion"/>
  </si>
  <si>
    <t>祁连UM满配180kVA 机柜，只含手动维修旁路开关</t>
    <phoneticPr fontId="8" type="noConversion"/>
  </si>
  <si>
    <t>25k:96.9%
30k:96.7%</t>
    <phoneticPr fontId="8" type="noConversion"/>
  </si>
  <si>
    <t>0.8%/1.5%</t>
    <phoneticPr fontId="8" type="noConversion"/>
  </si>
  <si>
    <t>1.6%/2.3%</t>
    <phoneticPr fontId="8" type="noConversion"/>
  </si>
  <si>
    <t>25k:0.8%/1.5%
30k:1.6%/2.3%</t>
    <phoneticPr fontId="8" type="noConversion"/>
  </si>
  <si>
    <t>1.5%/1.9%</t>
    <phoneticPr fontId="8" type="noConversion"/>
  </si>
  <si>
    <t>0.7%/1.2%</t>
    <phoneticPr fontId="8" type="noConversion"/>
  </si>
  <si>
    <t>0.7%/2.3%</t>
    <phoneticPr fontId="8" type="noConversion"/>
  </si>
  <si>
    <t>25k:0.8%/1.2%
30k:0.7%/2.3%</t>
    <phoneticPr fontId="8" type="noConversion"/>
  </si>
  <si>
    <t>0.5%/1.0%</t>
    <phoneticPr fontId="8" type="noConversion"/>
  </si>
  <si>
    <t>0.8%/1.6%</t>
    <phoneticPr fontId="8" type="noConversion"/>
  </si>
  <si>
    <r>
      <t>≤1</t>
    </r>
    <r>
      <rPr>
        <sz val="11"/>
        <color theme="1"/>
        <rFont val="微软雅黑"/>
        <family val="2"/>
        <charset val="134"/>
      </rPr>
      <t>0</t>
    </r>
    <phoneticPr fontId="8" type="noConversion"/>
  </si>
  <si>
    <t>≤5</t>
    <phoneticPr fontId="8" type="noConversion"/>
  </si>
  <si>
    <t>36 节及以上时输出功率不降额；32-34节时输出功率降额至 90%；30 节时输出功率降额至 80%</t>
    <phoneticPr fontId="8" type="noConversion"/>
  </si>
  <si>
    <t>SP12-250b</t>
    <phoneticPr fontId="25" type="noConversion"/>
  </si>
  <si>
    <t>268.8/225.0/197.1</t>
    <phoneticPr fontId="25" type="noConversion"/>
  </si>
  <si>
    <t>18/15</t>
    <phoneticPr fontId="25" type="noConversion"/>
  </si>
  <si>
    <t>7mV/26mV/205V</t>
    <phoneticPr fontId="25" type="noConversion"/>
  </si>
  <si>
    <t>符合</t>
    <phoneticPr fontId="25" type="noConversion"/>
  </si>
  <si>
    <t>28.3/15.6%</t>
    <phoneticPr fontId="25" type="noConversion"/>
  </si>
  <si>
    <t>国产</t>
    <phoneticPr fontId="8" type="noConversion"/>
  </si>
  <si>
    <t>国产/合资</t>
    <phoneticPr fontId="8" type="noConversion"/>
  </si>
  <si>
    <t>下(可选上走线，成本不变，下单前非标)</t>
    <phoneticPr fontId="8" type="noConversion"/>
  </si>
  <si>
    <r>
      <t>3</t>
    </r>
    <r>
      <rPr>
        <sz val="11"/>
        <color theme="1"/>
        <rFont val="等线"/>
        <family val="3"/>
        <charset val="134"/>
        <scheme val="minor"/>
      </rPr>
      <t>0分钟及以内选用4C锂电系统，30分钟以上选用1C锂电系统</t>
    </r>
    <phoneticPr fontId="16" type="noConversion"/>
  </si>
  <si>
    <t>LCD5.6</t>
  </si>
  <si>
    <t>LCD5.6</t>
    <phoneticPr fontId="8" type="noConversion"/>
  </si>
  <si>
    <t>主旁可分别接线，同一市电</t>
    <phoneticPr fontId="8" type="noConversion"/>
  </si>
  <si>
    <t>下单前需确定安装方式；32节及以上时输出功率不降额；30～32节电池默认功率因数0.9</t>
    <phoneticPr fontId="8" type="noConversion"/>
  </si>
  <si>
    <t>自带4m</t>
  </si>
  <si>
    <t>自带4m</t>
    <phoneticPr fontId="8" type="noConversion"/>
  </si>
  <si>
    <t>太行 UR-0010SPS</t>
    <phoneticPr fontId="6" type="noConversion"/>
  </si>
  <si>
    <t>太行 UR-0010SPL</t>
    <phoneticPr fontId="26" type="noConversion"/>
  </si>
  <si>
    <t>太行 UR-0020SPS</t>
    <phoneticPr fontId="26" type="noConversion"/>
  </si>
  <si>
    <t>太行 UR-0020SPL</t>
    <phoneticPr fontId="26" type="noConversion"/>
  </si>
  <si>
    <t>太行 UR-0030SPS</t>
    <phoneticPr fontId="26" type="noConversion"/>
  </si>
  <si>
    <t>太行 UR-0030SPL</t>
    <phoneticPr fontId="26" type="noConversion"/>
  </si>
  <si>
    <t>太行 UR-0060SPL</t>
    <phoneticPr fontId="26" type="noConversion"/>
  </si>
  <si>
    <t>太行 UR-0100SPL</t>
    <phoneticPr fontId="26" type="noConversion"/>
  </si>
  <si>
    <t>太行 UR-0100NPL</t>
    <phoneticPr fontId="26" type="noConversion"/>
  </si>
  <si>
    <t>太行 UR-0150NPL</t>
    <phoneticPr fontId="26" type="noConversion"/>
  </si>
  <si>
    <t>太行 UR-0200NPL</t>
    <phoneticPr fontId="26" type="noConversion"/>
  </si>
  <si>
    <t>太行 UR-0100TPL</t>
    <phoneticPr fontId="26" type="noConversion"/>
  </si>
  <si>
    <t>太行 UR-0150TPL</t>
    <phoneticPr fontId="26" type="noConversion"/>
  </si>
  <si>
    <t>太行 UR-0200TPL</t>
    <phoneticPr fontId="26" type="noConversion"/>
  </si>
  <si>
    <t>太行 UR-0300TPL</t>
    <phoneticPr fontId="26" type="noConversion"/>
  </si>
  <si>
    <t>太行 UR-0400TPL</t>
    <phoneticPr fontId="26" type="noConversion"/>
  </si>
  <si>
    <t>昆仑 UE-0010SPS</t>
    <phoneticPr fontId="26" type="noConversion"/>
  </si>
  <si>
    <t>昆仑 UE-0010SPL</t>
    <phoneticPr fontId="26" type="noConversion"/>
  </si>
  <si>
    <t>昆仑 UE-0020SPS</t>
    <phoneticPr fontId="26" type="noConversion"/>
  </si>
  <si>
    <t>昆仑 UE-0020SPL</t>
    <phoneticPr fontId="26" type="noConversion"/>
  </si>
  <si>
    <t>昆仑 UE-0030SPS</t>
    <phoneticPr fontId="26" type="noConversion"/>
  </si>
  <si>
    <t>昆仑 UE-0030SPL</t>
    <phoneticPr fontId="26" type="noConversion"/>
  </si>
  <si>
    <t>昆仑 UE-0060SPS</t>
    <phoneticPr fontId="6" type="noConversion"/>
  </si>
  <si>
    <t>昆仑 UE-0060SPL</t>
    <phoneticPr fontId="26" type="noConversion"/>
  </si>
  <si>
    <t>昆仑 UE-0100SPS</t>
    <phoneticPr fontId="26" type="noConversion"/>
  </si>
  <si>
    <t>昆仑 UE-0100SPL</t>
    <phoneticPr fontId="26" type="noConversion"/>
  </si>
  <si>
    <t>昆仑 UE-0100NPL</t>
    <phoneticPr fontId="26" type="noConversion"/>
  </si>
  <si>
    <t>昆仑 UE-0150NPL</t>
    <phoneticPr fontId="26" type="noConversion"/>
  </si>
  <si>
    <t>昆仑 UE-0200NPL</t>
    <phoneticPr fontId="26" type="noConversion"/>
  </si>
  <si>
    <t>昆仑 UE-0100TPL</t>
    <phoneticPr fontId="26" type="noConversion"/>
  </si>
  <si>
    <t>昆仑 UE-0150TPL</t>
    <phoneticPr fontId="26" type="noConversion"/>
  </si>
  <si>
    <t>昆仑 UE-0200TPL</t>
    <phoneticPr fontId="26" type="noConversion"/>
  </si>
  <si>
    <t>昆仑 UE-0300TPL</t>
    <phoneticPr fontId="26" type="noConversion"/>
  </si>
  <si>
    <t>昆仑 UE-0400TPL</t>
    <phoneticPr fontId="26" type="noConversion"/>
  </si>
  <si>
    <t>昆仑 UE-0600TPL</t>
    <phoneticPr fontId="26" type="noConversion"/>
  </si>
  <si>
    <t>昆仑 UE-0800TPL</t>
    <phoneticPr fontId="26" type="noConversion"/>
  </si>
  <si>
    <t>昆仑 UE-1000TPL</t>
    <phoneticPr fontId="26" type="noConversion"/>
  </si>
  <si>
    <t>昆仑 UE-1200TPL</t>
    <phoneticPr fontId="26" type="noConversion"/>
  </si>
  <si>
    <t>无</t>
    <phoneticPr fontId="26" type="noConversion"/>
  </si>
  <si>
    <t>太行Power系列1kVA单进单出标机</t>
    <phoneticPr fontId="6" type="noConversion"/>
  </si>
  <si>
    <t>太行Power系列2kVA单进单出标机</t>
    <phoneticPr fontId="6" type="noConversion"/>
  </si>
  <si>
    <t>太行Power系列3kVA单进单出标机</t>
    <phoneticPr fontId="6" type="noConversion"/>
  </si>
  <si>
    <t>太行Power系列1kVA单进单出长机</t>
    <phoneticPr fontId="26" type="noConversion"/>
  </si>
  <si>
    <t>太行Power系列2kVA单进单出长机</t>
    <phoneticPr fontId="26" type="noConversion"/>
  </si>
  <si>
    <t>太行Power系列3kVA单进单出长机</t>
    <phoneticPr fontId="26" type="noConversion"/>
  </si>
  <si>
    <t>太行Power系列6kVA单进单出长机</t>
    <phoneticPr fontId="26" type="noConversion"/>
  </si>
  <si>
    <t>太行Power系列10kVA单进单出长机</t>
    <phoneticPr fontId="26" type="noConversion"/>
  </si>
  <si>
    <t>内置2</t>
    <phoneticPr fontId="6" type="noConversion"/>
  </si>
  <si>
    <t>内置4</t>
    <phoneticPr fontId="6" type="noConversion"/>
  </si>
  <si>
    <t>内置6</t>
    <phoneticPr fontId="6" type="noConversion"/>
  </si>
  <si>
    <t>支持</t>
    <phoneticPr fontId="26" type="noConversion"/>
  </si>
  <si>
    <t>2U</t>
    <phoneticPr fontId="26" type="noConversion"/>
  </si>
  <si>
    <t>0.8/0.9/1</t>
    <phoneticPr fontId="26" type="noConversion"/>
  </si>
  <si>
    <t>太行Power系列10kVA三进单出长机</t>
    <phoneticPr fontId="26" type="noConversion"/>
  </si>
  <si>
    <t>太行Power系列20kVA三进单出长机</t>
    <phoneticPr fontId="26" type="noConversion"/>
  </si>
  <si>
    <t>太行Power系列15kVA三进单出长机</t>
    <phoneticPr fontId="26" type="noConversion"/>
  </si>
  <si>
    <r>
      <rPr>
        <sz val="11"/>
        <color rgb="FFFF0000"/>
        <rFont val="微软雅黑"/>
        <family val="2"/>
        <charset val="134"/>
      </rPr>
      <t>16</t>
    </r>
    <r>
      <rPr>
        <sz val="11"/>
        <color theme="1"/>
        <rFont val="微软雅黑"/>
        <family val="2"/>
        <charset val="134"/>
      </rPr>
      <t>-20</t>
    </r>
  </si>
  <si>
    <r>
      <rPr>
        <sz val="11"/>
        <color rgb="FFFF0000"/>
        <rFont val="微软雅黑"/>
        <family val="2"/>
        <charset val="134"/>
      </rPr>
      <t>16</t>
    </r>
    <r>
      <rPr>
        <sz val="11"/>
        <color theme="1"/>
        <rFont val="微软雅黑"/>
        <family val="2"/>
        <charset val="134"/>
      </rPr>
      <t>-20</t>
    </r>
    <phoneticPr fontId="26" type="noConversion"/>
  </si>
  <si>
    <t>塔式机架式兼容</t>
    <phoneticPr fontId="26" type="noConversion"/>
  </si>
  <si>
    <t>2.4英寸</t>
  </si>
  <si>
    <t>2.4英寸</t>
    <phoneticPr fontId="26" type="noConversion"/>
  </si>
  <si>
    <t>可选SNMP卡/Modbus卡/干接点卡（三选一）</t>
    <phoneticPr fontId="6" type="noConversion"/>
  </si>
  <si>
    <t>可选SNMP卡/Modbus卡/干接点卡（三选一）</t>
    <phoneticPr fontId="26" type="noConversion"/>
  </si>
  <si>
    <t>2.9%/3.2%</t>
    <phoneticPr fontId="26" type="noConversion"/>
  </si>
  <si>
    <t>0.9%/2.2%</t>
    <phoneticPr fontId="26" type="noConversion"/>
  </si>
  <si>
    <t>3U</t>
    <phoneticPr fontId="26" type="noConversion"/>
  </si>
  <si>
    <r>
      <t>30-</t>
    </r>
    <r>
      <rPr>
        <sz val="11"/>
        <color rgb="FFFF0000"/>
        <rFont val="微软雅黑"/>
        <family val="2"/>
        <charset val="134"/>
      </rPr>
      <t>32</t>
    </r>
    <r>
      <rPr>
        <sz val="11"/>
        <color theme="1"/>
        <rFont val="微软雅黑"/>
        <family val="2"/>
        <charset val="134"/>
      </rPr>
      <t>-50</t>
    </r>
    <phoneticPr fontId="26" type="noConversion"/>
  </si>
  <si>
    <r>
      <t>30-</t>
    </r>
    <r>
      <rPr>
        <sz val="11"/>
        <color rgb="FFFF0000"/>
        <rFont val="微软雅黑"/>
        <family val="2"/>
        <charset val="134"/>
      </rPr>
      <t>32</t>
    </r>
    <r>
      <rPr>
        <sz val="11"/>
        <color theme="1"/>
        <rFont val="微软雅黑"/>
        <family val="2"/>
        <charset val="134"/>
      </rPr>
      <t>-50</t>
    </r>
    <r>
      <rPr>
        <sz val="11"/>
        <color theme="1"/>
        <rFont val="等线"/>
        <family val="2"/>
        <scheme val="minor"/>
      </rPr>
      <t/>
    </r>
  </si>
  <si>
    <t>4.3英寸</t>
  </si>
  <si>
    <t>4.3英寸</t>
    <phoneticPr fontId="26" type="noConversion"/>
  </si>
  <si>
    <t>√</t>
    <phoneticPr fontId="26" type="noConversion"/>
  </si>
  <si>
    <t>可选SNMP卡/干接点卡</t>
    <phoneticPr fontId="26" type="noConversion"/>
  </si>
  <si>
    <t>太行Power系列30kVA三进三出长机</t>
    <phoneticPr fontId="26" type="noConversion"/>
  </si>
  <si>
    <t>太行Power系列40kVA三进三出长机</t>
    <phoneticPr fontId="26" type="noConversion"/>
  </si>
  <si>
    <t>太行Power系列10kVA三三/三单/单单长机</t>
    <phoneticPr fontId="26" type="noConversion"/>
  </si>
  <si>
    <t>太行Power系列20kVA三三/三单/单单长机</t>
    <phoneticPr fontId="26" type="noConversion"/>
  </si>
  <si>
    <t>太行Power系列15kVA三三/三单/单单长机</t>
    <phoneticPr fontId="26" type="noConversion"/>
  </si>
  <si>
    <t>昆仑Power系列1kVA单进单出标机</t>
    <phoneticPr fontId="6" type="noConversion"/>
  </si>
  <si>
    <t>昆仑Power系列1kVA单进单出长机</t>
    <phoneticPr fontId="26" type="noConversion"/>
  </si>
  <si>
    <t>昆仑Power系列2kVA单进单出标机</t>
    <phoneticPr fontId="6" type="noConversion"/>
  </si>
  <si>
    <t>昆仑Power系列2kVA单进单出长机</t>
    <phoneticPr fontId="26" type="noConversion"/>
  </si>
  <si>
    <t>昆仑Power系列3kVA单进单出标机</t>
    <phoneticPr fontId="6" type="noConversion"/>
  </si>
  <si>
    <t>昆仑Power系列3kVA单进单出长机</t>
    <phoneticPr fontId="26" type="noConversion"/>
  </si>
  <si>
    <t>昆仑Power系列6kVA单进单出标机</t>
    <phoneticPr fontId="6" type="noConversion"/>
  </si>
  <si>
    <t>昆仑Power系列6kVA单进单出长机</t>
    <phoneticPr fontId="26" type="noConversion"/>
  </si>
  <si>
    <t>昆仑Power系列10kVA单进单出标机</t>
    <phoneticPr fontId="6" type="noConversion"/>
  </si>
  <si>
    <t>昆仑Power系列10kVA单进单出长机</t>
    <phoneticPr fontId="26" type="noConversion"/>
  </si>
  <si>
    <t>昆仑Power系列10kVA三进单出长机</t>
    <phoneticPr fontId="26" type="noConversion"/>
  </si>
  <si>
    <t>昆仑Power系列15kVA三进单出长机</t>
    <phoneticPr fontId="26" type="noConversion"/>
  </si>
  <si>
    <t>昆仑Power系列20kVA三进单出长机</t>
    <phoneticPr fontId="26" type="noConversion"/>
  </si>
  <si>
    <t>昆仑Power系列10kVA三进三出长机</t>
    <phoneticPr fontId="26" type="noConversion"/>
  </si>
  <si>
    <t>昆仑Power系列15kVA三进三出长机</t>
    <phoneticPr fontId="26" type="noConversion"/>
  </si>
  <si>
    <t>昆仑Power系列20kVA三进三出长机</t>
    <phoneticPr fontId="26" type="noConversion"/>
  </si>
  <si>
    <t>昆仑Power系列30kVA三进三出长机</t>
    <phoneticPr fontId="26" type="noConversion"/>
  </si>
  <si>
    <t>昆仑Power系列40kVA三进三出长机</t>
    <phoneticPr fontId="26" type="noConversion"/>
  </si>
  <si>
    <t>昆仑Power系列60kVA三进三出长机</t>
    <phoneticPr fontId="26" type="noConversion"/>
  </si>
  <si>
    <t>昆仑Power系列80kVA三进三出长机</t>
    <phoneticPr fontId="26" type="noConversion"/>
  </si>
  <si>
    <t>昆仑Power系列100kVA三进三出长机</t>
    <phoneticPr fontId="26" type="noConversion"/>
  </si>
  <si>
    <t>昆仑Power系列120kVA三进三出长机</t>
    <phoneticPr fontId="26" type="noConversion"/>
  </si>
  <si>
    <t>自带</t>
    <phoneticPr fontId="26" type="noConversion"/>
  </si>
  <si>
    <r>
      <rPr>
        <sz val="11"/>
        <color rgb="FFFF0000"/>
        <rFont val="微软雅黑"/>
        <family val="2"/>
        <charset val="134"/>
      </rPr>
      <t>16</t>
    </r>
    <r>
      <rPr>
        <sz val="11"/>
        <color theme="1"/>
        <rFont val="微软雅黑"/>
        <family val="2"/>
        <charset val="134"/>
      </rPr>
      <t>-20</t>
    </r>
    <r>
      <rPr>
        <sz val="11"/>
        <color theme="1"/>
        <rFont val="等线"/>
        <family val="2"/>
        <scheme val="minor"/>
      </rPr>
      <t/>
    </r>
  </si>
  <si>
    <t>塔式</t>
    <phoneticPr fontId="26" type="noConversion"/>
  </si>
  <si>
    <t>3.0%/4.9%</t>
    <phoneticPr fontId="26" type="noConversion"/>
  </si>
  <si>
    <t>0.8%/2.9%</t>
    <phoneticPr fontId="26" type="noConversion"/>
  </si>
  <si>
    <t>三相：304.0~476.7</t>
  </si>
  <si>
    <t>0.991/0.983/0.972</t>
  </si>
  <si>
    <t>2.4%/3.8%/4.4%</t>
  </si>
  <si>
    <t>1.4%/3.2%</t>
  </si>
  <si>
    <t>-1.92%/1.95%</t>
  </si>
  <si>
    <t>94.82%/95.16%/94.52%</t>
  </si>
  <si>
    <t>1.2%/1.6%</t>
  </si>
  <si>
    <t>1.2%/1.6%</t>
    <phoneticPr fontId="8" type="noConversion"/>
  </si>
  <si>
    <t>可选3/5/10m</t>
  </si>
  <si>
    <t>可选3/5/10m</t>
    <phoneticPr fontId="26" type="noConversion"/>
  </si>
  <si>
    <t>有</t>
    <phoneticPr fontId="26" type="noConversion"/>
  </si>
  <si>
    <t>PF：0.8 (16-17节电池 ) / 0.9 (18-19节电池 ) / 1.0 (20节电池 )</t>
    <phoneticPr fontId="26" type="noConversion"/>
  </si>
  <si>
    <t>可选5/10/15m</t>
  </si>
  <si>
    <t>可选5/10/15m</t>
    <phoneticPr fontId="26" type="noConversion"/>
  </si>
  <si>
    <t>初次检验</t>
    <phoneticPr fontId="25" type="noConversion"/>
  </si>
  <si>
    <t>年度监督</t>
    <phoneticPr fontId="25" type="noConversion"/>
  </si>
  <si>
    <t>50mV/19mV/134V</t>
    <phoneticPr fontId="25" type="noConversion"/>
  </si>
  <si>
    <t>14/8</t>
    <phoneticPr fontId="25" type="noConversion"/>
  </si>
  <si>
    <t>266.4/238.4/195.0</t>
    <phoneticPr fontId="25" type="noConversion"/>
  </si>
  <si>
    <t>36 节及以上时输出功率不降额；32-34节时输出功率降额至 90%；30 节时输出功率降额至 80%</t>
    <phoneticPr fontId="26" type="noConversion"/>
  </si>
  <si>
    <t>LBS</t>
    <phoneticPr fontId="6" type="noConversion"/>
  </si>
  <si>
    <t>中性线</t>
    <phoneticPr fontId="6" type="noConversion"/>
  </si>
  <si>
    <t>显示屏</t>
    <phoneticPr fontId="6" type="noConversion"/>
  </si>
  <si>
    <t>昆仑 UE-1600TPL</t>
    <phoneticPr fontId="8" type="noConversion"/>
  </si>
  <si>
    <t>昆仑 UE-1800TPL</t>
    <phoneticPr fontId="8" type="noConversion"/>
  </si>
  <si>
    <t>昆仑 UE-2000TPL</t>
    <phoneticPr fontId="8" type="noConversion"/>
  </si>
  <si>
    <t>昆仑Power系列160kVA三进三出长机</t>
    <phoneticPr fontId="8" type="noConversion"/>
  </si>
  <si>
    <t>昆仑Power系列180kVA三进三出长机</t>
    <phoneticPr fontId="8" type="noConversion"/>
  </si>
  <si>
    <t>昆仑Power系列200kVA三进三出长机</t>
    <phoneticPr fontId="8" type="noConversion"/>
  </si>
  <si>
    <t>泰山Power系列1kVA工频塔机，单进单出，PF=0.8，标机内置6节12V7Ah电池</t>
    <phoneticPr fontId="8" type="noConversion"/>
  </si>
  <si>
    <t>泰山Power系列1kVA工频塔机，单进单出，PF=0.8，长机6节电池</t>
    <phoneticPr fontId="8" type="noConversion"/>
  </si>
  <si>
    <t>泰山Power系列2kVA工频塔机，单进单出，PF=0.8，标机内置6节12V7Ah电池</t>
    <phoneticPr fontId="8" type="noConversion"/>
  </si>
  <si>
    <t>泰山Power系列2kVA工频塔机，单进单出，PF=0.8，长机6节电池</t>
    <phoneticPr fontId="8" type="noConversion"/>
  </si>
  <si>
    <t>泰山Power系列3kVA工频塔机，单进单出，PF=0.8，标机内置8节12V7Ah电池</t>
    <phoneticPr fontId="8" type="noConversion"/>
  </si>
  <si>
    <t>泰山Power系列3kVA工频塔机，单进单出，PF=0.8，长机8节电池</t>
    <phoneticPr fontId="8" type="noConversion"/>
  </si>
  <si>
    <t>泰山Power系列6kVA工频塔机，单进单出，PF=0.8，标机内置16节12V7Ah电池</t>
    <phoneticPr fontId="8" type="noConversion"/>
  </si>
  <si>
    <t>泰山Power系列6kVA工频塔机，单进单出，PF=0.8，长机16节电池</t>
    <phoneticPr fontId="8" type="noConversion"/>
  </si>
  <si>
    <t>泰山Power系列10kVA工频塔机，单进单出，PF=0.8，长机16节电池</t>
    <phoneticPr fontId="8" type="noConversion"/>
  </si>
  <si>
    <t>泰山Power系列15kVA工频塔机，单进单出，PF=0.8，长机16节电池</t>
    <phoneticPr fontId="8" type="noConversion"/>
  </si>
  <si>
    <t>泰山Power系列10kVA工频塔机，三进单出，PF=0.8，长机16节电池</t>
    <phoneticPr fontId="8" type="noConversion"/>
  </si>
  <si>
    <t>泰山Power系列15kVA工频塔机，三进单出，PF=0.8，长机16节电池</t>
    <phoneticPr fontId="8" type="noConversion"/>
  </si>
  <si>
    <t>泰山Power系列20kVA工频塔机，三进单出，PF=0.8，长机16节电池</t>
    <phoneticPr fontId="8" type="noConversion"/>
  </si>
  <si>
    <t>泰山Power系列10kVA工频塔机，三进单出，PF=0.8，长机32节电池</t>
    <phoneticPr fontId="8" type="noConversion"/>
  </si>
  <si>
    <t>泰山Power系列15kVA工频塔机，三进单出，PF=0.8，长机32节电池</t>
    <phoneticPr fontId="8" type="noConversion"/>
  </si>
  <si>
    <t>泰山Power系列20kVA工频塔机，三进单出，PF=0.8，长机32节电池</t>
    <phoneticPr fontId="8" type="noConversion"/>
  </si>
  <si>
    <t>泰山Power系列30kVA工频塔机，三进单出，PF=0.8，长机32节电池</t>
    <phoneticPr fontId="8" type="noConversion"/>
  </si>
  <si>
    <t>泰山UT-0010SPS</t>
    <phoneticPr fontId="8" type="noConversion"/>
  </si>
  <si>
    <t>泰山UT-0010SPL</t>
    <phoneticPr fontId="8" type="noConversion"/>
  </si>
  <si>
    <t>泰山UT-0020SPS</t>
    <phoneticPr fontId="8" type="noConversion"/>
  </si>
  <si>
    <t>泰山UT-0020SPL</t>
    <phoneticPr fontId="8" type="noConversion"/>
  </si>
  <si>
    <t>泰山UT-0030SPS</t>
    <phoneticPr fontId="8" type="noConversion"/>
  </si>
  <si>
    <t>泰山UT-0030SPL</t>
    <phoneticPr fontId="8" type="noConversion"/>
  </si>
  <si>
    <t>泰山UT-0060SPS</t>
    <phoneticPr fontId="8" type="noConversion"/>
  </si>
  <si>
    <t>泰山UT-0060SPL</t>
    <phoneticPr fontId="8" type="noConversion"/>
  </si>
  <si>
    <t>泰山UT-0100SPL</t>
    <phoneticPr fontId="8" type="noConversion"/>
  </si>
  <si>
    <t>泰山UT-0150SPL</t>
    <phoneticPr fontId="8" type="noConversion"/>
  </si>
  <si>
    <t>泰山UT-0100NPL</t>
    <phoneticPr fontId="8" type="noConversion"/>
  </si>
  <si>
    <t>泰山UT-0150NPL</t>
    <phoneticPr fontId="8" type="noConversion"/>
  </si>
  <si>
    <t>泰山UT-0200NPL</t>
    <phoneticPr fontId="8" type="noConversion"/>
  </si>
  <si>
    <t>泰山UT-0100NPL-E</t>
    <phoneticPr fontId="8" type="noConversion"/>
  </si>
  <si>
    <t>泰山UT-0150NPL-E</t>
    <phoneticPr fontId="8" type="noConversion"/>
  </si>
  <si>
    <t>泰山UT-0200NPL-E</t>
    <phoneticPr fontId="8" type="noConversion"/>
  </si>
  <si>
    <t>泰山UT-0300NPL-E</t>
    <phoneticPr fontId="8" type="noConversion"/>
  </si>
  <si>
    <t>泰山UT-0100TPL-6P</t>
    <phoneticPr fontId="8" type="noConversion"/>
  </si>
  <si>
    <t>泰山UT-0200TPL-6P</t>
    <phoneticPr fontId="8" type="noConversion"/>
  </si>
  <si>
    <t>泰山UT-0300TPL-6P</t>
    <phoneticPr fontId="8" type="noConversion"/>
  </si>
  <si>
    <t>泰山UT-0400TPL-6P</t>
    <phoneticPr fontId="8" type="noConversion"/>
  </si>
  <si>
    <t>泰山UT-0600TPL-6P</t>
    <phoneticPr fontId="8" type="noConversion"/>
  </si>
  <si>
    <t>泰山UT-0800TPL-6P</t>
    <phoneticPr fontId="8" type="noConversion"/>
  </si>
  <si>
    <t>泰山UT-1000TPL-6P</t>
    <phoneticPr fontId="8" type="noConversion"/>
  </si>
  <si>
    <t>泰山UT-1200TPL-6P</t>
    <phoneticPr fontId="8" type="noConversion"/>
  </si>
  <si>
    <t>泰山UT-1600TPL-6P</t>
    <phoneticPr fontId="8" type="noConversion"/>
  </si>
  <si>
    <t>泰山UT-2000TPL-6P</t>
    <phoneticPr fontId="8" type="noConversion"/>
  </si>
  <si>
    <t>泰山UT-3000TPL-6P</t>
    <phoneticPr fontId="8" type="noConversion"/>
  </si>
  <si>
    <t>泰山UT-4000TPL-6P</t>
    <phoneticPr fontId="8" type="noConversion"/>
  </si>
  <si>
    <t>泰山UT-5000TPL-12P</t>
    <phoneticPr fontId="8" type="noConversion"/>
  </si>
  <si>
    <t>泰山UT-6000TPL-12P</t>
    <phoneticPr fontId="8" type="noConversion"/>
  </si>
  <si>
    <t>泰山Power系列10kVA工频塔机，三进三出，PF=0.8，6脉冲，30-32节电池可选</t>
    <phoneticPr fontId="8" type="noConversion"/>
  </si>
  <si>
    <t>泰山Power系列20kVA工频塔机，三进三出，PF=0.8，6脉冲，30-32节电池可选</t>
    <phoneticPr fontId="8" type="noConversion"/>
  </si>
  <si>
    <t>泰山Power系列30kVA工频塔机，三进三出，PF=0.8，6脉冲，30-32节电池可选</t>
    <phoneticPr fontId="8" type="noConversion"/>
  </si>
  <si>
    <t>泰山Power系列40kVA工频塔机，三进三出，PF=0.8，6脉冲，30-32节电池可选</t>
    <phoneticPr fontId="8" type="noConversion"/>
  </si>
  <si>
    <t>泰山Power系列60kVA工频塔机，三进三出，PF=0.8，6脉冲，30-32节电池可选</t>
    <phoneticPr fontId="8" type="noConversion"/>
  </si>
  <si>
    <t>泰山Power系列80kVA工频塔机，三进三出，PF=0.8，6脉冲，30-32节电池可选</t>
    <phoneticPr fontId="8" type="noConversion"/>
  </si>
  <si>
    <t>泰山Power系列100kVA工频塔机，三进三出，PF=0.8，6脉冲，30-32节电池可选</t>
    <phoneticPr fontId="8" type="noConversion"/>
  </si>
  <si>
    <t>泰山Power系列120kVA工频塔机，三进三出，PF=0.8，6脉冲，30-32节电池可选</t>
    <phoneticPr fontId="8" type="noConversion"/>
  </si>
  <si>
    <t>泰山Power系列160kVA工频塔机，三进三出，PF=0.8，6脉冲，30-32节电池可选</t>
    <phoneticPr fontId="8" type="noConversion"/>
  </si>
  <si>
    <t>泰山Power系列200kVA工频塔机，三进三出，PF=0.9，6脉冲，30-32节电池可选</t>
    <phoneticPr fontId="8" type="noConversion"/>
  </si>
  <si>
    <t>泰山Power系列300kVA工频塔机，三进三出，PF=0.9，6脉冲，30-34节电池可选</t>
    <phoneticPr fontId="8" type="noConversion"/>
  </si>
  <si>
    <t>泰山Power系列400kVA工频塔机，三进三出，PF=0.9，6脉冲，30-34节电池可选</t>
    <phoneticPr fontId="8" type="noConversion"/>
  </si>
  <si>
    <t>泰山Power系列500kVA工频塔机，三进三出，PF=0.9，12脉冲，40节电池</t>
    <phoneticPr fontId="8" type="noConversion"/>
  </si>
  <si>
    <t>泰山Power系列600kVA工频塔机，三进三出，PF=0.9，12脉冲，40节电池</t>
    <phoneticPr fontId="8" type="noConversion"/>
  </si>
  <si>
    <t>0.8/0.9</t>
  </si>
  <si>
    <t>0.8/0.9</t>
    <phoneticPr fontId="8" type="noConversion"/>
  </si>
  <si>
    <t>36 节及以上时输出功率不降额；32-34节时输出功率降额至 90%；30 节时输出功率降额至 80%</t>
    <phoneticPr fontId="6" type="noConversion"/>
  </si>
  <si>
    <t>后</t>
    <phoneticPr fontId="8" type="noConversion"/>
  </si>
  <si>
    <t>SNMP卡/干接点卡（二选一）</t>
    <phoneticPr fontId="26" type="noConversion"/>
  </si>
  <si>
    <t>机架式</t>
    <phoneticPr fontId="26" type="noConversion"/>
  </si>
  <si>
    <t>/</t>
    <phoneticPr fontId="6" type="noConversion"/>
  </si>
  <si>
    <t>50kPa</t>
  </si>
  <si>
    <t>GBT12-250</t>
    <phoneticPr fontId="25" type="noConversion"/>
  </si>
  <si>
    <t>267.5/242.7/215.4</t>
    <phoneticPr fontId="25" type="noConversion"/>
  </si>
  <si>
    <t>21/15</t>
    <phoneticPr fontId="25" type="noConversion"/>
  </si>
  <si>
    <t>7mV/10mV/73V</t>
    <phoneticPr fontId="25" type="noConversion"/>
  </si>
  <si>
    <t>3.7mV</t>
    <phoneticPr fontId="25" type="noConversion"/>
  </si>
  <si>
    <t>内阻偏差</t>
    <phoneticPr fontId="25" type="noConversion"/>
  </si>
  <si>
    <t>1.87mΩ</t>
    <phoneticPr fontId="25" type="noConversion"/>
  </si>
  <si>
    <t>25.9/27%</t>
    <phoneticPr fontId="25" type="noConversion"/>
  </si>
  <si>
    <t>4.3mV</t>
    <phoneticPr fontId="25" type="noConversion"/>
  </si>
  <si>
    <t>2.7mΩ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</si>
</sst>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0_ "/>
    <numFmt numFmtId="178" formatCode="0.0_ "/>
    <numFmt numFmtId="179" formatCode="0.0_);[Red]\(0.0\)"/>
  </numFmts>
  <fonts count="28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黑体"/>
      <family val="3"/>
      <charset val="134"/>
    </font>
    <font>
      <sz val="9"/>
      <name val="等线"/>
      <family val="3"/>
      <charset val="134"/>
      <scheme val="minor"/>
    </font>
    <font>
      <sz val="14"/>
      <color theme="1"/>
      <name val="黑体"/>
      <family val="3"/>
      <charset val="134"/>
    </font>
    <font>
      <sz val="14"/>
      <color theme="1"/>
      <name val="黑体"/>
      <family val="3"/>
      <charset val="134"/>
    </font>
    <font>
      <sz val="9"/>
      <color rgb="FFFF0000"/>
      <name val="黑体"/>
      <family val="3"/>
      <charset val="134"/>
    </font>
    <font>
      <sz val="9"/>
      <color theme="1"/>
      <name val="黑体"/>
      <family val="3"/>
      <charset val="134"/>
    </font>
    <font>
      <sz val="11"/>
      <color rgb="FFFF0000"/>
      <name val="黑体"/>
      <family val="3"/>
      <charset val="134"/>
    </font>
    <font>
      <sz val="11"/>
      <color theme="1"/>
      <name val="黑体"/>
      <family val="3"/>
      <charset val="134"/>
    </font>
    <font>
      <sz val="12"/>
      <color theme="1"/>
      <name val="黑体"/>
      <family val="3"/>
      <charset val="134"/>
    </font>
    <font>
      <sz val="9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>
      <alignment vertical="center"/>
    </xf>
  </cellStyleXfs>
  <cellXfs count="145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3" fillId="2" borderId="3" xfId="0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176" fontId="4" fillId="2" borderId="9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1">
      <alignment vertical="center"/>
    </xf>
    <xf numFmtId="0" fontId="17" fillId="3" borderId="3" xfId="1" applyFont="1" applyFill="1" applyBorder="1" applyAlignment="1">
      <alignment horizontal="center" vertical="center"/>
    </xf>
    <xf numFmtId="0" fontId="18" fillId="3" borderId="3" xfId="1" applyFont="1" applyFill="1" applyBorder="1" applyAlignment="1">
      <alignment horizontal="center" vertical="center"/>
    </xf>
    <xf numFmtId="0" fontId="14" fillId="0" borderId="3" xfId="1" applyBorder="1" applyAlignment="1">
      <alignment horizontal="center" vertical="center"/>
    </xf>
    <xf numFmtId="0" fontId="19" fillId="0" borderId="3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/>
    </xf>
    <xf numFmtId="0" fontId="14" fillId="0" borderId="3" xfId="1" applyBorder="1">
      <alignment vertical="center"/>
    </xf>
    <xf numFmtId="0" fontId="22" fillId="0" borderId="0" xfId="1" applyFo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176" fontId="4" fillId="2" borderId="0" xfId="0" applyNumberFormat="1" applyFont="1" applyFill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23" fillId="3" borderId="3" xfId="1" applyFont="1" applyFill="1" applyBorder="1" applyAlignment="1">
      <alignment horizontal="center" vertical="center"/>
    </xf>
    <xf numFmtId="177" fontId="14" fillId="0" borderId="3" xfId="1" applyNumberFormat="1" applyBorder="1" applyAlignment="1">
      <alignment horizontal="center" vertical="center"/>
    </xf>
    <xf numFmtId="0" fontId="24" fillId="0" borderId="0" xfId="1" applyFont="1">
      <alignment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4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179" fontId="2" fillId="0" borderId="3" xfId="0" applyNumberFormat="1" applyFont="1" applyBorder="1" applyAlignment="1">
      <alignment horizontal="center" vertical="center"/>
    </xf>
    <xf numFmtId="179" fontId="2" fillId="4" borderId="3" xfId="0" applyNumberFormat="1" applyFont="1" applyFill="1" applyBorder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wrapText="1"/>
    </xf>
    <xf numFmtId="10" fontId="2" fillId="4" borderId="3" xfId="0" applyNumberFormat="1" applyFont="1" applyFill="1" applyBorder="1" applyAlignment="1">
      <alignment horizontal="center" vertical="center" wrapText="1"/>
    </xf>
    <xf numFmtId="10" fontId="2" fillId="4" borderId="3" xfId="0" applyNumberFormat="1" applyFont="1" applyFill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vertical="center"/>
    </xf>
    <xf numFmtId="0" fontId="0" fillId="4" borderId="0" xfId="0" applyFill="1"/>
    <xf numFmtId="0" fontId="13" fillId="0" borderId="0" xfId="0" applyFont="1" applyAlignment="1">
      <alignment wrapText="1"/>
    </xf>
    <xf numFmtId="0" fontId="0" fillId="4" borderId="0" xfId="0" applyFill="1" applyAlignment="1">
      <alignment wrapText="1"/>
    </xf>
    <xf numFmtId="10" fontId="3" fillId="3" borderId="3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wrapText="1"/>
    </xf>
    <xf numFmtId="179" fontId="2" fillId="4" borderId="3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179" fontId="2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7" fontId="14" fillId="4" borderId="3" xfId="1" applyNumberForma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wrapText="1"/>
    </xf>
    <xf numFmtId="10" fontId="5" fillId="4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0" fontId="2" fillId="2" borderId="3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/>
    <xf numFmtId="0" fontId="5" fillId="0" borderId="3" xfId="0" applyFont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0" fontId="3" fillId="4" borderId="3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9" fontId="2" fillId="0" borderId="3" xfId="0" applyNumberFormat="1" applyFont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10" fontId="27" fillId="4" borderId="3" xfId="0" applyNumberFormat="1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10" fontId="27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top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2" fillId="0" borderId="0" xfId="1" applyFont="1" applyAlignment="1">
      <alignment horizontal="left" vertical="center"/>
    </xf>
    <xf numFmtId="0" fontId="21" fillId="0" borderId="9" xfId="1" applyFont="1" applyBorder="1" applyAlignment="1">
      <alignment horizontal="left" vertical="center"/>
    </xf>
    <xf numFmtId="0" fontId="15" fillId="0" borderId="10" xfId="1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1" fillId="0" borderId="0" xfId="1" applyFont="1" applyAlignment="1">
      <alignment horizontal="left" vertical="center"/>
    </xf>
    <xf numFmtId="0" fontId="14" fillId="0" borderId="10" xfId="1" applyBorder="1" applyAlignment="1">
      <alignment horizontal="center" vertical="center"/>
    </xf>
    <xf numFmtId="0" fontId="21" fillId="0" borderId="0" xfId="1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0" fontId="5" fillId="0" borderId="3" xfId="0" applyNumberFormat="1" applyFont="1" applyFill="1" applyBorder="1" applyAlignment="1">
      <alignment horizontal="center" vertical="center" wrapText="1"/>
    </xf>
    <xf numFmtId="10" fontId="2" fillId="0" borderId="3" xfId="0" applyNumberFormat="1" applyFont="1" applyFill="1" applyBorder="1" applyAlignment="1">
      <alignment horizontal="center" vertical="center" wrapText="1"/>
    </xf>
    <xf numFmtId="176" fontId="2" fillId="0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0" fontId="2" fillId="0" borderId="3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6E9ECE72-7E06-421E-842F-B30D832BD9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1"/>
  <sheetViews>
    <sheetView zoomScale="80" zoomScaleNormal="80" workbookViewId="0">
      <selection activeCell="M28" sqref="M28"/>
    </sheetView>
  </sheetViews>
  <sheetFormatPr defaultColWidth="9" defaultRowHeight="14.25" x14ac:dyDescent="0.2"/>
  <cols>
    <col min="1" max="1" width="5.5" customWidth="1"/>
    <col min="2" max="2" width="20.5" bestFit="1" customWidth="1"/>
    <col min="3" max="3" width="42.625" customWidth="1"/>
    <col min="4" max="5" width="10.5" bestFit="1" customWidth="1"/>
    <col min="6" max="7" width="8.5" bestFit="1" customWidth="1"/>
    <col min="8" max="8" width="8.5" customWidth="1"/>
    <col min="9" max="9" width="10" bestFit="1" customWidth="1"/>
    <col min="10" max="10" width="10" customWidth="1"/>
    <col min="11" max="11" width="10.5" bestFit="1" customWidth="1"/>
    <col min="12" max="12" width="6.125" bestFit="1" customWidth="1"/>
    <col min="13" max="13" width="10.5" bestFit="1" customWidth="1"/>
    <col min="14" max="14" width="12.125" bestFit="1" customWidth="1"/>
    <col min="15" max="15" width="13.25" bestFit="1" customWidth="1"/>
    <col min="16" max="16" width="44.375" bestFit="1" customWidth="1"/>
    <col min="17" max="17" width="8" bestFit="1" customWidth="1"/>
    <col min="18" max="18" width="16.875" bestFit="1" customWidth="1"/>
    <col min="19" max="19" width="30.5" customWidth="1"/>
    <col min="20" max="20" width="6.375" bestFit="1" customWidth="1"/>
    <col min="21" max="21" width="4.625" bestFit="1" customWidth="1"/>
    <col min="22" max="22" width="16.125" bestFit="1" customWidth="1"/>
  </cols>
  <sheetData>
    <row r="1" spans="1:22" ht="18" x14ac:dyDescent="0.2">
      <c r="A1" s="16" t="s">
        <v>0</v>
      </c>
      <c r="B1" s="16" t="s">
        <v>1</v>
      </c>
      <c r="C1" s="16" t="s">
        <v>2</v>
      </c>
      <c r="D1" s="16" t="s">
        <v>31</v>
      </c>
      <c r="E1" s="16" t="s">
        <v>32</v>
      </c>
      <c r="F1" s="16" t="s">
        <v>216</v>
      </c>
      <c r="G1" s="16" t="s">
        <v>42</v>
      </c>
      <c r="H1" s="16" t="s">
        <v>822</v>
      </c>
      <c r="I1" s="16" t="s">
        <v>4</v>
      </c>
      <c r="J1" s="16" t="s">
        <v>823</v>
      </c>
      <c r="K1" s="16" t="s">
        <v>33</v>
      </c>
      <c r="L1" s="16" t="s">
        <v>34</v>
      </c>
      <c r="M1" s="16" t="s">
        <v>397</v>
      </c>
      <c r="N1" s="16" t="s">
        <v>154</v>
      </c>
      <c r="O1" s="16" t="s">
        <v>155</v>
      </c>
      <c r="P1" s="16" t="s">
        <v>215</v>
      </c>
      <c r="Q1" s="16" t="s">
        <v>824</v>
      </c>
      <c r="R1" s="16" t="s">
        <v>9</v>
      </c>
      <c r="S1" s="16" t="s">
        <v>11</v>
      </c>
      <c r="T1" s="30" t="s">
        <v>124</v>
      </c>
      <c r="U1" s="30" t="s">
        <v>130</v>
      </c>
      <c r="V1" s="30" t="s">
        <v>126</v>
      </c>
    </row>
    <row r="2" spans="1:22" ht="16.5" x14ac:dyDescent="0.2">
      <c r="A2" s="17">
        <v>1</v>
      </c>
      <c r="B2" s="17" t="s">
        <v>698</v>
      </c>
      <c r="C2" s="70" t="s">
        <v>737</v>
      </c>
      <c r="D2" s="17">
        <v>1</v>
      </c>
      <c r="E2" s="17" t="s">
        <v>736</v>
      </c>
      <c r="F2" s="17" t="s">
        <v>13</v>
      </c>
      <c r="G2" s="17" t="s">
        <v>13</v>
      </c>
      <c r="H2" s="17" t="s">
        <v>13</v>
      </c>
      <c r="I2" s="17" t="s">
        <v>745</v>
      </c>
      <c r="J2" s="17" t="s">
        <v>812</v>
      </c>
      <c r="K2" s="17" t="s">
        <v>748</v>
      </c>
      <c r="L2" s="17" t="s">
        <v>749</v>
      </c>
      <c r="M2" s="75">
        <v>0.96719999999999995</v>
      </c>
      <c r="N2" s="21" t="s">
        <v>399</v>
      </c>
      <c r="O2" s="21" t="s">
        <v>377</v>
      </c>
      <c r="P2" s="37" t="s">
        <v>759</v>
      </c>
      <c r="Q2" s="37" t="s">
        <v>758</v>
      </c>
      <c r="R2" s="17" t="s">
        <v>898</v>
      </c>
      <c r="S2" s="33" t="s">
        <v>899</v>
      </c>
      <c r="T2" s="42" t="s">
        <v>127</v>
      </c>
      <c r="U2" s="42"/>
      <c r="V2" s="42" t="s">
        <v>127</v>
      </c>
    </row>
    <row r="3" spans="1:22" ht="16.5" x14ac:dyDescent="0.2">
      <c r="A3" s="1">
        <v>2</v>
      </c>
      <c r="B3" s="1" t="s">
        <v>699</v>
      </c>
      <c r="C3" s="71" t="s">
        <v>740</v>
      </c>
      <c r="D3" s="1">
        <v>1</v>
      </c>
      <c r="E3" s="1" t="s">
        <v>736</v>
      </c>
      <c r="F3" s="1" t="s">
        <v>736</v>
      </c>
      <c r="G3" s="1" t="s">
        <v>736</v>
      </c>
      <c r="H3" s="1" t="s">
        <v>736</v>
      </c>
      <c r="I3" s="1">
        <v>3</v>
      </c>
      <c r="J3" s="1" t="s">
        <v>812</v>
      </c>
      <c r="K3" s="1" t="s">
        <v>748</v>
      </c>
      <c r="L3" s="1" t="s">
        <v>749</v>
      </c>
      <c r="M3" s="77">
        <v>0.96719999999999995</v>
      </c>
      <c r="N3" s="6" t="s">
        <v>399</v>
      </c>
      <c r="O3" s="6" t="s">
        <v>377</v>
      </c>
      <c r="P3" s="9" t="s">
        <v>760</v>
      </c>
      <c r="Q3" s="9" t="s">
        <v>758</v>
      </c>
      <c r="R3" s="1" t="s">
        <v>898</v>
      </c>
      <c r="S3" s="4" t="s">
        <v>899</v>
      </c>
      <c r="T3" s="56" t="s">
        <v>768</v>
      </c>
      <c r="U3" s="56"/>
      <c r="V3" s="56" t="s">
        <v>768</v>
      </c>
    </row>
    <row r="4" spans="1:22" ht="16.5" x14ac:dyDescent="0.2">
      <c r="A4" s="17">
        <v>3</v>
      </c>
      <c r="B4" s="17" t="s">
        <v>700</v>
      </c>
      <c r="C4" s="70" t="s">
        <v>738</v>
      </c>
      <c r="D4" s="17">
        <v>1</v>
      </c>
      <c r="E4" s="17" t="s">
        <v>736</v>
      </c>
      <c r="F4" s="17" t="s">
        <v>13</v>
      </c>
      <c r="G4" s="17" t="s">
        <v>13</v>
      </c>
      <c r="H4" s="17" t="s">
        <v>13</v>
      </c>
      <c r="I4" s="17" t="s">
        <v>746</v>
      </c>
      <c r="J4" s="17" t="s">
        <v>812</v>
      </c>
      <c r="K4" s="17" t="s">
        <v>748</v>
      </c>
      <c r="L4" s="17" t="s">
        <v>36</v>
      </c>
      <c r="M4" s="75">
        <v>0.96719999999999995</v>
      </c>
      <c r="N4" s="21" t="s">
        <v>398</v>
      </c>
      <c r="O4" s="21" t="s">
        <v>376</v>
      </c>
      <c r="P4" s="37" t="s">
        <v>759</v>
      </c>
      <c r="Q4" s="37" t="s">
        <v>757</v>
      </c>
      <c r="R4" s="17" t="s">
        <v>898</v>
      </c>
      <c r="S4" s="33" t="s">
        <v>899</v>
      </c>
      <c r="T4" s="42" t="s">
        <v>127</v>
      </c>
      <c r="U4" s="42"/>
      <c r="V4" s="42" t="s">
        <v>127</v>
      </c>
    </row>
    <row r="5" spans="1:22" ht="16.5" x14ac:dyDescent="0.2">
      <c r="A5" s="1">
        <v>4</v>
      </c>
      <c r="B5" s="1" t="s">
        <v>701</v>
      </c>
      <c r="C5" s="71" t="s">
        <v>741</v>
      </c>
      <c r="D5" s="1">
        <v>1</v>
      </c>
      <c r="E5" s="1" t="s">
        <v>736</v>
      </c>
      <c r="F5" s="1" t="s">
        <v>736</v>
      </c>
      <c r="G5" s="1" t="s">
        <v>736</v>
      </c>
      <c r="H5" s="1" t="s">
        <v>736</v>
      </c>
      <c r="I5" s="1">
        <v>6</v>
      </c>
      <c r="J5" s="1" t="s">
        <v>812</v>
      </c>
      <c r="K5" s="1" t="s">
        <v>748</v>
      </c>
      <c r="L5" s="1" t="s">
        <v>36</v>
      </c>
      <c r="M5" s="77">
        <v>0.96719999999999995</v>
      </c>
      <c r="N5" s="6" t="s">
        <v>398</v>
      </c>
      <c r="O5" s="6" t="s">
        <v>376</v>
      </c>
      <c r="P5" s="9" t="s">
        <v>760</v>
      </c>
      <c r="Q5" s="9" t="s">
        <v>757</v>
      </c>
      <c r="R5" s="1" t="s">
        <v>898</v>
      </c>
      <c r="S5" s="4" t="s">
        <v>899</v>
      </c>
      <c r="T5" s="56" t="s">
        <v>768</v>
      </c>
      <c r="U5" s="56"/>
      <c r="V5" s="56" t="s">
        <v>768</v>
      </c>
    </row>
    <row r="6" spans="1:22" ht="16.5" x14ac:dyDescent="0.2">
      <c r="A6" s="17">
        <v>5</v>
      </c>
      <c r="B6" s="17" t="s">
        <v>702</v>
      </c>
      <c r="C6" s="70" t="s">
        <v>739</v>
      </c>
      <c r="D6" s="17">
        <v>1</v>
      </c>
      <c r="E6" s="17" t="s">
        <v>736</v>
      </c>
      <c r="F6" s="17" t="s">
        <v>13</v>
      </c>
      <c r="G6" s="17" t="s">
        <v>13</v>
      </c>
      <c r="H6" s="17" t="s">
        <v>13</v>
      </c>
      <c r="I6" s="17" t="s">
        <v>747</v>
      </c>
      <c r="J6" s="17" t="s">
        <v>812</v>
      </c>
      <c r="K6" s="17" t="s">
        <v>748</v>
      </c>
      <c r="L6" s="17" t="s">
        <v>36</v>
      </c>
      <c r="M6" s="75">
        <v>0.96719999999999995</v>
      </c>
      <c r="N6" s="21" t="s">
        <v>398</v>
      </c>
      <c r="O6" s="21" t="s">
        <v>376</v>
      </c>
      <c r="P6" s="37" t="s">
        <v>759</v>
      </c>
      <c r="Q6" s="37" t="s">
        <v>757</v>
      </c>
      <c r="R6" s="17" t="s">
        <v>898</v>
      </c>
      <c r="S6" s="33" t="s">
        <v>899</v>
      </c>
      <c r="T6" s="42" t="s">
        <v>127</v>
      </c>
      <c r="U6" s="42"/>
      <c r="V6" s="42" t="s">
        <v>127</v>
      </c>
    </row>
    <row r="7" spans="1:22" ht="16.5" x14ac:dyDescent="0.2">
      <c r="A7" s="1">
        <v>6</v>
      </c>
      <c r="B7" s="1" t="s">
        <v>703</v>
      </c>
      <c r="C7" s="71" t="s">
        <v>742</v>
      </c>
      <c r="D7" s="1">
        <v>1</v>
      </c>
      <c r="E7" s="1" t="s">
        <v>736</v>
      </c>
      <c r="F7" s="1" t="s">
        <v>736</v>
      </c>
      <c r="G7" s="1" t="s">
        <v>736</v>
      </c>
      <c r="H7" s="1" t="s">
        <v>736</v>
      </c>
      <c r="I7" s="1">
        <v>8</v>
      </c>
      <c r="J7" s="1" t="s">
        <v>812</v>
      </c>
      <c r="K7" s="1" t="s">
        <v>748</v>
      </c>
      <c r="L7" s="1" t="s">
        <v>36</v>
      </c>
      <c r="M7" s="77">
        <v>0.96719999999999995</v>
      </c>
      <c r="N7" s="6" t="s">
        <v>398</v>
      </c>
      <c r="O7" s="6" t="s">
        <v>376</v>
      </c>
      <c r="P7" s="9" t="s">
        <v>760</v>
      </c>
      <c r="Q7" s="9" t="s">
        <v>757</v>
      </c>
      <c r="R7" s="1" t="s">
        <v>898</v>
      </c>
      <c r="S7" s="4" t="s">
        <v>899</v>
      </c>
      <c r="T7" s="56" t="s">
        <v>768</v>
      </c>
      <c r="U7" s="56"/>
      <c r="V7" s="56" t="s">
        <v>768</v>
      </c>
    </row>
    <row r="8" spans="1:22" ht="16.5" x14ac:dyDescent="0.2">
      <c r="A8" s="17">
        <v>7</v>
      </c>
      <c r="B8" s="17" t="s">
        <v>704</v>
      </c>
      <c r="C8" s="70" t="s">
        <v>743</v>
      </c>
      <c r="D8" s="17">
        <v>1</v>
      </c>
      <c r="E8" s="17" t="s">
        <v>736</v>
      </c>
      <c r="F8" s="17" t="s">
        <v>13</v>
      </c>
      <c r="G8" s="17" t="s">
        <v>13</v>
      </c>
      <c r="H8" s="17" t="s">
        <v>13</v>
      </c>
      <c r="I8" s="17" t="s">
        <v>755</v>
      </c>
      <c r="J8" s="17" t="s">
        <v>736</v>
      </c>
      <c r="K8" s="17" t="s">
        <v>748</v>
      </c>
      <c r="L8" s="17" t="s">
        <v>36</v>
      </c>
      <c r="M8" s="75">
        <v>0.96719999999999995</v>
      </c>
      <c r="N8" s="21" t="s">
        <v>398</v>
      </c>
      <c r="O8" s="21" t="s">
        <v>376</v>
      </c>
      <c r="P8" s="37" t="s">
        <v>759</v>
      </c>
      <c r="Q8" s="37" t="s">
        <v>757</v>
      </c>
      <c r="R8" s="17" t="s">
        <v>898</v>
      </c>
      <c r="S8" s="33" t="s">
        <v>899</v>
      </c>
      <c r="T8" s="42" t="s">
        <v>127</v>
      </c>
      <c r="U8" s="42"/>
      <c r="V8" s="42" t="s">
        <v>127</v>
      </c>
    </row>
    <row r="9" spans="1:22" ht="16.5" x14ac:dyDescent="0.2">
      <c r="A9" s="1">
        <v>8</v>
      </c>
      <c r="B9" s="1" t="s">
        <v>705</v>
      </c>
      <c r="C9" s="71" t="s">
        <v>744</v>
      </c>
      <c r="D9" s="1">
        <v>1</v>
      </c>
      <c r="E9" s="1" t="s">
        <v>736</v>
      </c>
      <c r="F9" s="1" t="s">
        <v>736</v>
      </c>
      <c r="G9" s="1" t="s">
        <v>736</v>
      </c>
      <c r="H9" s="1" t="s">
        <v>736</v>
      </c>
      <c r="I9" s="1" t="s">
        <v>755</v>
      </c>
      <c r="J9" s="1" t="s">
        <v>736</v>
      </c>
      <c r="K9" s="1" t="s">
        <v>748</v>
      </c>
      <c r="L9" s="1" t="s">
        <v>36</v>
      </c>
      <c r="M9" s="77">
        <v>0.96719999999999995</v>
      </c>
      <c r="N9" s="6" t="s">
        <v>398</v>
      </c>
      <c r="O9" s="6" t="s">
        <v>376</v>
      </c>
      <c r="P9" s="9" t="s">
        <v>760</v>
      </c>
      <c r="Q9" s="9" t="s">
        <v>757</v>
      </c>
      <c r="R9" s="1" t="s">
        <v>898</v>
      </c>
      <c r="S9" s="4" t="s">
        <v>899</v>
      </c>
      <c r="T9" s="56" t="s">
        <v>768</v>
      </c>
      <c r="U9" s="56"/>
      <c r="V9" s="56" t="s">
        <v>768</v>
      </c>
    </row>
    <row r="10" spans="1:22" ht="16.5" x14ac:dyDescent="0.2">
      <c r="A10" s="17">
        <v>9</v>
      </c>
      <c r="B10" s="17" t="s">
        <v>706</v>
      </c>
      <c r="C10" s="70" t="s">
        <v>751</v>
      </c>
      <c r="D10" s="17">
        <v>1</v>
      </c>
      <c r="E10" s="17" t="s">
        <v>736</v>
      </c>
      <c r="F10" s="17" t="s">
        <v>13</v>
      </c>
      <c r="G10" s="17" t="s">
        <v>13</v>
      </c>
      <c r="H10" s="17" t="s">
        <v>13</v>
      </c>
      <c r="I10" s="17" t="s">
        <v>754</v>
      </c>
      <c r="J10" s="17" t="s">
        <v>736</v>
      </c>
      <c r="K10" s="17" t="s">
        <v>748</v>
      </c>
      <c r="L10" s="17" t="s">
        <v>36</v>
      </c>
      <c r="M10" s="75">
        <v>0.97130000000000005</v>
      </c>
      <c r="N10" s="21" t="s">
        <v>761</v>
      </c>
      <c r="O10" s="21" t="s">
        <v>762</v>
      </c>
      <c r="P10" s="37" t="s">
        <v>759</v>
      </c>
      <c r="Q10" s="37" t="s">
        <v>757</v>
      </c>
      <c r="R10" s="17" t="s">
        <v>898</v>
      </c>
      <c r="S10" s="117" t="s">
        <v>813</v>
      </c>
      <c r="T10" s="42" t="s">
        <v>127</v>
      </c>
      <c r="U10" s="42"/>
      <c r="V10" s="42" t="s">
        <v>127</v>
      </c>
    </row>
    <row r="11" spans="1:22" ht="16.5" x14ac:dyDescent="0.2">
      <c r="A11" s="1">
        <v>10</v>
      </c>
      <c r="B11" s="1" t="s">
        <v>707</v>
      </c>
      <c r="C11" s="71" t="s">
        <v>753</v>
      </c>
      <c r="D11" s="1">
        <v>1</v>
      </c>
      <c r="E11" s="1" t="s">
        <v>736</v>
      </c>
      <c r="F11" s="1" t="s">
        <v>736</v>
      </c>
      <c r="G11" s="1" t="s">
        <v>736</v>
      </c>
      <c r="H11" s="1" t="s">
        <v>736</v>
      </c>
      <c r="I11" s="1" t="s">
        <v>755</v>
      </c>
      <c r="J11" s="1" t="s">
        <v>736</v>
      </c>
      <c r="K11" s="1" t="s">
        <v>748</v>
      </c>
      <c r="L11" s="1" t="s">
        <v>36</v>
      </c>
      <c r="M11" s="77">
        <v>0.97130000000000005</v>
      </c>
      <c r="N11" s="6" t="s">
        <v>761</v>
      </c>
      <c r="O11" s="6" t="s">
        <v>762</v>
      </c>
      <c r="P11" s="9" t="s">
        <v>760</v>
      </c>
      <c r="Q11" s="9" t="s">
        <v>757</v>
      </c>
      <c r="R11" s="1" t="s">
        <v>898</v>
      </c>
      <c r="S11" s="118"/>
      <c r="T11" s="56" t="s">
        <v>768</v>
      </c>
      <c r="U11" s="56"/>
      <c r="V11" s="56" t="s">
        <v>768</v>
      </c>
    </row>
    <row r="12" spans="1:22" ht="16.5" x14ac:dyDescent="0.2">
      <c r="A12" s="17">
        <v>11</v>
      </c>
      <c r="B12" s="17" t="s">
        <v>708</v>
      </c>
      <c r="C12" s="70" t="s">
        <v>752</v>
      </c>
      <c r="D12" s="17">
        <v>1</v>
      </c>
      <c r="E12" s="17" t="s">
        <v>736</v>
      </c>
      <c r="F12" s="17" t="s">
        <v>13</v>
      </c>
      <c r="G12" s="17" t="s">
        <v>13</v>
      </c>
      <c r="H12" s="17" t="s">
        <v>13</v>
      </c>
      <c r="I12" s="17" t="s">
        <v>755</v>
      </c>
      <c r="J12" s="17" t="s">
        <v>736</v>
      </c>
      <c r="K12" s="17" t="s">
        <v>748</v>
      </c>
      <c r="L12" s="17" t="s">
        <v>36</v>
      </c>
      <c r="M12" s="75">
        <v>0.97130000000000005</v>
      </c>
      <c r="N12" s="21" t="s">
        <v>401</v>
      </c>
      <c r="O12" s="21" t="s">
        <v>391</v>
      </c>
      <c r="P12" s="37" t="s">
        <v>759</v>
      </c>
      <c r="Q12" s="37" t="s">
        <v>757</v>
      </c>
      <c r="R12" s="17" t="s">
        <v>898</v>
      </c>
      <c r="S12" s="119"/>
      <c r="T12" s="42" t="s">
        <v>127</v>
      </c>
      <c r="U12" s="42"/>
      <c r="V12" s="42" t="s">
        <v>127</v>
      </c>
    </row>
    <row r="13" spans="1:22" ht="16.5" x14ac:dyDescent="0.2">
      <c r="A13" s="1">
        <v>12</v>
      </c>
      <c r="B13" s="1" t="s">
        <v>709</v>
      </c>
      <c r="C13" s="71" t="s">
        <v>772</v>
      </c>
      <c r="D13" s="1">
        <v>0.9</v>
      </c>
      <c r="E13" s="1">
        <v>4</v>
      </c>
      <c r="F13" s="1" t="s">
        <v>41</v>
      </c>
      <c r="G13" s="1" t="s">
        <v>811</v>
      </c>
      <c r="H13" s="1" t="s">
        <v>736</v>
      </c>
      <c r="I13" s="1" t="s">
        <v>764</v>
      </c>
      <c r="J13" s="1" t="s">
        <v>812</v>
      </c>
      <c r="K13" s="1" t="s">
        <v>748</v>
      </c>
      <c r="L13" s="1" t="s">
        <v>763</v>
      </c>
      <c r="M13" s="77">
        <v>0.97130000000000005</v>
      </c>
      <c r="N13" s="6" t="s">
        <v>401</v>
      </c>
      <c r="O13" s="6" t="s">
        <v>391</v>
      </c>
      <c r="P13" s="9" t="s">
        <v>897</v>
      </c>
      <c r="Q13" s="9" t="s">
        <v>767</v>
      </c>
      <c r="R13" s="1" t="s">
        <v>756</v>
      </c>
      <c r="S13" s="117" t="s">
        <v>895</v>
      </c>
      <c r="T13" s="56" t="s">
        <v>768</v>
      </c>
      <c r="U13" s="56"/>
      <c r="V13" s="56" t="s">
        <v>768</v>
      </c>
    </row>
    <row r="14" spans="1:22" ht="16.5" x14ac:dyDescent="0.2">
      <c r="A14" s="17">
        <v>13</v>
      </c>
      <c r="B14" s="17" t="s">
        <v>710</v>
      </c>
      <c r="C14" s="70" t="s">
        <v>774</v>
      </c>
      <c r="D14" s="17">
        <v>0.9</v>
      </c>
      <c r="E14" s="17">
        <v>4</v>
      </c>
      <c r="F14" s="17" t="s">
        <v>41</v>
      </c>
      <c r="G14" s="17" t="s">
        <v>810</v>
      </c>
      <c r="H14" s="17" t="s">
        <v>13</v>
      </c>
      <c r="I14" s="17" t="s">
        <v>764</v>
      </c>
      <c r="J14" s="17" t="s">
        <v>812</v>
      </c>
      <c r="K14" s="17" t="s">
        <v>748</v>
      </c>
      <c r="L14" s="17" t="s">
        <v>763</v>
      </c>
      <c r="M14" s="75">
        <v>0.97130000000000005</v>
      </c>
      <c r="N14" s="21" t="s">
        <v>401</v>
      </c>
      <c r="O14" s="21" t="s">
        <v>391</v>
      </c>
      <c r="P14" s="37" t="s">
        <v>897</v>
      </c>
      <c r="Q14" s="37" t="s">
        <v>767</v>
      </c>
      <c r="R14" s="17" t="s">
        <v>756</v>
      </c>
      <c r="S14" s="118"/>
      <c r="T14" s="42" t="s">
        <v>127</v>
      </c>
      <c r="U14" s="42"/>
      <c r="V14" s="42" t="s">
        <v>127</v>
      </c>
    </row>
    <row r="15" spans="1:22" ht="16.5" x14ac:dyDescent="0.2">
      <c r="A15" s="1">
        <v>14</v>
      </c>
      <c r="B15" s="1" t="s">
        <v>711</v>
      </c>
      <c r="C15" s="71" t="s">
        <v>773</v>
      </c>
      <c r="D15" s="1">
        <v>0.9</v>
      </c>
      <c r="E15" s="1">
        <v>4</v>
      </c>
      <c r="F15" s="1" t="s">
        <v>41</v>
      </c>
      <c r="G15" s="1" t="s">
        <v>810</v>
      </c>
      <c r="H15" s="1" t="s">
        <v>736</v>
      </c>
      <c r="I15" s="1" t="s">
        <v>765</v>
      </c>
      <c r="J15" s="1" t="s">
        <v>812</v>
      </c>
      <c r="K15" s="1" t="s">
        <v>748</v>
      </c>
      <c r="L15" s="1" t="s">
        <v>37</v>
      </c>
      <c r="M15" s="77">
        <v>0.97130000000000005</v>
      </c>
      <c r="N15" s="6" t="s">
        <v>401</v>
      </c>
      <c r="O15" s="6" t="s">
        <v>391</v>
      </c>
      <c r="P15" s="9" t="s">
        <v>897</v>
      </c>
      <c r="Q15" s="9" t="s">
        <v>766</v>
      </c>
      <c r="R15" s="1" t="s">
        <v>756</v>
      </c>
      <c r="S15" s="118"/>
      <c r="T15" s="56" t="s">
        <v>768</v>
      </c>
      <c r="U15" s="56"/>
      <c r="V15" s="56" t="s">
        <v>768</v>
      </c>
    </row>
    <row r="16" spans="1:22" ht="16.5" x14ac:dyDescent="0.2">
      <c r="A16" s="17">
        <v>15</v>
      </c>
      <c r="B16" s="17" t="s">
        <v>712</v>
      </c>
      <c r="C16" s="70" t="s">
        <v>770</v>
      </c>
      <c r="D16" s="17">
        <v>0.9</v>
      </c>
      <c r="E16" s="17">
        <v>4</v>
      </c>
      <c r="F16" s="17" t="s">
        <v>41</v>
      </c>
      <c r="G16" s="17" t="s">
        <v>810</v>
      </c>
      <c r="H16" s="17" t="s">
        <v>13</v>
      </c>
      <c r="I16" s="17" t="s">
        <v>764</v>
      </c>
      <c r="J16" s="17" t="s">
        <v>812</v>
      </c>
      <c r="K16" s="17" t="s">
        <v>748</v>
      </c>
      <c r="L16" s="17" t="s">
        <v>37</v>
      </c>
      <c r="M16" s="75">
        <v>0.97130000000000005</v>
      </c>
      <c r="N16" s="21" t="s">
        <v>401</v>
      </c>
      <c r="O16" s="21" t="s">
        <v>391</v>
      </c>
      <c r="P16" s="37" t="s">
        <v>897</v>
      </c>
      <c r="Q16" s="37" t="s">
        <v>766</v>
      </c>
      <c r="R16" s="17" t="s">
        <v>756</v>
      </c>
      <c r="S16" s="118"/>
      <c r="T16" s="42" t="s">
        <v>127</v>
      </c>
      <c r="U16" s="42"/>
      <c r="V16" s="42" t="s">
        <v>127</v>
      </c>
    </row>
    <row r="17" spans="1:40" ht="16.5" x14ac:dyDescent="0.2">
      <c r="A17" s="1">
        <v>16</v>
      </c>
      <c r="B17" s="1" t="s">
        <v>713</v>
      </c>
      <c r="C17" s="71" t="s">
        <v>771</v>
      </c>
      <c r="D17" s="1">
        <v>0.9</v>
      </c>
      <c r="E17" s="1">
        <v>4</v>
      </c>
      <c r="F17" s="1" t="s">
        <v>41</v>
      </c>
      <c r="G17" s="1" t="s">
        <v>810</v>
      </c>
      <c r="H17" s="1" t="s">
        <v>736</v>
      </c>
      <c r="I17" s="1" t="s">
        <v>765</v>
      </c>
      <c r="J17" s="1" t="s">
        <v>812</v>
      </c>
      <c r="K17" s="1" t="s">
        <v>748</v>
      </c>
      <c r="L17" s="1" t="s">
        <v>37</v>
      </c>
      <c r="M17" s="77">
        <v>0.97130000000000005</v>
      </c>
      <c r="N17" s="6" t="s">
        <v>401</v>
      </c>
      <c r="O17" s="6" t="s">
        <v>391</v>
      </c>
      <c r="P17" s="9" t="s">
        <v>897</v>
      </c>
      <c r="Q17" s="9" t="s">
        <v>766</v>
      </c>
      <c r="R17" s="1" t="s">
        <v>756</v>
      </c>
      <c r="S17" s="119"/>
      <c r="T17" s="56" t="s">
        <v>768</v>
      </c>
      <c r="U17" s="56"/>
      <c r="V17" s="56" t="s">
        <v>768</v>
      </c>
    </row>
    <row r="18" spans="1:40" ht="16.5" x14ac:dyDescent="0.3">
      <c r="A18" s="17">
        <v>17</v>
      </c>
      <c r="B18" s="23" t="s">
        <v>344</v>
      </c>
      <c r="C18" s="72" t="s">
        <v>338</v>
      </c>
      <c r="D18" s="17">
        <v>0.9</v>
      </c>
      <c r="E18" s="17">
        <v>4</v>
      </c>
      <c r="F18" s="17" t="s">
        <v>41</v>
      </c>
      <c r="G18" s="17" t="s">
        <v>342</v>
      </c>
      <c r="H18" s="17" t="s">
        <v>13</v>
      </c>
      <c r="I18" s="19" t="s">
        <v>340</v>
      </c>
      <c r="J18" s="17" t="s">
        <v>812</v>
      </c>
      <c r="K18" s="17" t="s">
        <v>35</v>
      </c>
      <c r="L18" s="17" t="s">
        <v>37</v>
      </c>
      <c r="M18" s="75">
        <v>0.97130000000000005</v>
      </c>
      <c r="N18" s="21" t="s">
        <v>401</v>
      </c>
      <c r="O18" s="21" t="s">
        <v>391</v>
      </c>
      <c r="P18" s="37" t="s">
        <v>221</v>
      </c>
      <c r="Q18" s="37"/>
      <c r="R18" s="17" t="s">
        <v>26</v>
      </c>
      <c r="S18" s="117" t="s">
        <v>402</v>
      </c>
      <c r="T18" s="42" t="s">
        <v>127</v>
      </c>
      <c r="U18" s="42"/>
      <c r="V18" s="42" t="s">
        <v>127</v>
      </c>
    </row>
    <row r="19" spans="1:40" s="81" customFormat="1" ht="16.5" x14ac:dyDescent="0.3">
      <c r="A19" s="11">
        <v>18</v>
      </c>
      <c r="B19" s="78" t="s">
        <v>345</v>
      </c>
      <c r="C19" s="97" t="s">
        <v>339</v>
      </c>
      <c r="D19" s="11">
        <v>0.9</v>
      </c>
      <c r="E19" s="11">
        <v>4</v>
      </c>
      <c r="F19" s="11" t="s">
        <v>41</v>
      </c>
      <c r="G19" s="11" t="s">
        <v>342</v>
      </c>
      <c r="H19" s="1" t="s">
        <v>736</v>
      </c>
      <c r="I19" s="98" t="s">
        <v>341</v>
      </c>
      <c r="J19" s="1" t="s">
        <v>812</v>
      </c>
      <c r="K19" s="11" t="s">
        <v>35</v>
      </c>
      <c r="L19" s="11" t="s">
        <v>37</v>
      </c>
      <c r="M19" s="99">
        <v>0.97130000000000005</v>
      </c>
      <c r="N19" s="100" t="s">
        <v>401</v>
      </c>
      <c r="O19" s="100" t="s">
        <v>391</v>
      </c>
      <c r="P19" s="40" t="s">
        <v>221</v>
      </c>
      <c r="Q19" s="40"/>
      <c r="R19" s="11" t="s">
        <v>26</v>
      </c>
      <c r="S19" s="119"/>
      <c r="T19" s="39" t="s">
        <v>127</v>
      </c>
      <c r="U19" s="39"/>
      <c r="V19" s="39" t="s">
        <v>127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ht="16.5" x14ac:dyDescent="0.3">
      <c r="A20" s="17">
        <v>19</v>
      </c>
      <c r="B20" s="23" t="s">
        <v>38</v>
      </c>
      <c r="C20" s="73" t="s">
        <v>649</v>
      </c>
      <c r="D20" s="17">
        <v>1</v>
      </c>
      <c r="E20" s="17">
        <v>4</v>
      </c>
      <c r="F20" s="17" t="s">
        <v>41</v>
      </c>
      <c r="G20" s="17" t="s">
        <v>41</v>
      </c>
      <c r="H20" s="17" t="s">
        <v>13</v>
      </c>
      <c r="I20" s="17">
        <v>4</v>
      </c>
      <c r="J20" s="17" t="s">
        <v>812</v>
      </c>
      <c r="K20" s="17" t="s">
        <v>35</v>
      </c>
      <c r="L20" s="17" t="s">
        <v>37</v>
      </c>
      <c r="M20" s="75">
        <v>0.96719999999999995</v>
      </c>
      <c r="N20" s="21" t="s">
        <v>398</v>
      </c>
      <c r="O20" s="21" t="s">
        <v>376</v>
      </c>
      <c r="P20" s="37" t="s">
        <v>400</v>
      </c>
      <c r="Q20" s="37"/>
      <c r="R20" s="17" t="s">
        <v>26</v>
      </c>
      <c r="S20" s="134" t="s">
        <v>899</v>
      </c>
      <c r="T20" s="42" t="s">
        <v>127</v>
      </c>
      <c r="U20" s="42" t="s">
        <v>127</v>
      </c>
      <c r="V20" s="42" t="s">
        <v>127</v>
      </c>
    </row>
    <row r="21" spans="1:40" ht="16.5" x14ac:dyDescent="0.3">
      <c r="A21" s="1">
        <v>20</v>
      </c>
      <c r="B21" s="10" t="s">
        <v>39</v>
      </c>
      <c r="C21" s="79" t="s">
        <v>650</v>
      </c>
      <c r="D21" s="1">
        <v>1</v>
      </c>
      <c r="E21" s="1">
        <v>4</v>
      </c>
      <c r="F21" s="1" t="s">
        <v>41</v>
      </c>
      <c r="G21" s="1" t="s">
        <v>41</v>
      </c>
      <c r="H21" s="1" t="s">
        <v>736</v>
      </c>
      <c r="I21" s="1">
        <v>4</v>
      </c>
      <c r="J21" s="1" t="s">
        <v>812</v>
      </c>
      <c r="K21" s="1" t="s">
        <v>35</v>
      </c>
      <c r="L21" s="1" t="s">
        <v>37</v>
      </c>
      <c r="M21" s="77">
        <v>0.96719999999999995</v>
      </c>
      <c r="N21" s="6" t="s">
        <v>398</v>
      </c>
      <c r="O21" s="6" t="s">
        <v>376</v>
      </c>
      <c r="P21" s="40" t="s">
        <v>400</v>
      </c>
      <c r="Q21" s="40"/>
      <c r="R21" s="1" t="s">
        <v>26</v>
      </c>
      <c r="S21" s="134"/>
      <c r="T21" s="56" t="s">
        <v>127</v>
      </c>
      <c r="U21" s="56" t="s">
        <v>127</v>
      </c>
      <c r="V21" s="56" t="s">
        <v>127</v>
      </c>
    </row>
    <row r="22" spans="1:40" ht="16.5" x14ac:dyDescent="0.3">
      <c r="A22" s="17">
        <v>21</v>
      </c>
      <c r="B22" s="23" t="s">
        <v>40</v>
      </c>
      <c r="C22" s="73" t="s">
        <v>651</v>
      </c>
      <c r="D22" s="17">
        <v>0.85</v>
      </c>
      <c r="E22" s="17">
        <v>4</v>
      </c>
      <c r="F22" s="17" t="s">
        <v>41</v>
      </c>
      <c r="G22" s="17" t="s">
        <v>41</v>
      </c>
      <c r="H22" s="17" t="s">
        <v>13</v>
      </c>
      <c r="I22" s="17">
        <v>4</v>
      </c>
      <c r="J22" s="17" t="s">
        <v>812</v>
      </c>
      <c r="K22" s="17" t="s">
        <v>35</v>
      </c>
      <c r="L22" s="17" t="s">
        <v>37</v>
      </c>
      <c r="M22" s="75">
        <v>0.96719999999999995</v>
      </c>
      <c r="N22" s="21" t="s">
        <v>398</v>
      </c>
      <c r="O22" s="21" t="s">
        <v>376</v>
      </c>
      <c r="P22" s="37" t="s">
        <v>400</v>
      </c>
      <c r="Q22" s="37"/>
      <c r="R22" s="17" t="s">
        <v>26</v>
      </c>
      <c r="S22" s="134"/>
      <c r="T22" s="42" t="s">
        <v>127</v>
      </c>
      <c r="U22" s="42" t="s">
        <v>127</v>
      </c>
      <c r="V22" s="42" t="s">
        <v>127</v>
      </c>
    </row>
    <row r="31" spans="1:40" x14ac:dyDescent="0.2">
      <c r="C31" s="8"/>
    </row>
  </sheetData>
  <mergeCells count="4">
    <mergeCell ref="S10:S12"/>
    <mergeCell ref="S13:S17"/>
    <mergeCell ref="S20:S22"/>
    <mergeCell ref="S18:S19"/>
  </mergeCells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0A77-CB8E-4AC6-ACD4-11C319CF2922}">
  <dimension ref="A1:X23"/>
  <sheetViews>
    <sheetView zoomScale="80" zoomScaleNormal="80" workbookViewId="0">
      <selection activeCell="G32" sqref="G32"/>
    </sheetView>
  </sheetViews>
  <sheetFormatPr defaultColWidth="9" defaultRowHeight="14.25" x14ac:dyDescent="0.2"/>
  <cols>
    <col min="1" max="1" width="5.5" customWidth="1"/>
    <col min="2" max="2" width="19.875" bestFit="1" customWidth="1"/>
    <col min="3" max="3" width="42.625" customWidth="1"/>
    <col min="4" max="4" width="17.875" bestFit="1" customWidth="1"/>
    <col min="5" max="6" width="20.75" customWidth="1"/>
    <col min="7" max="9" width="14.75" customWidth="1"/>
    <col min="10" max="11" width="10.75" customWidth="1"/>
    <col min="12" max="12" width="14.75" customWidth="1"/>
    <col min="13" max="13" width="13.875" customWidth="1"/>
    <col min="14" max="15" width="14.75" customWidth="1"/>
    <col min="16" max="19" width="10.75" customWidth="1"/>
    <col min="20" max="20" width="25" bestFit="1" customWidth="1"/>
    <col min="21" max="24" width="10.75" customWidth="1"/>
  </cols>
  <sheetData>
    <row r="1" spans="1:24" s="8" customFormat="1" ht="36" x14ac:dyDescent="0.2">
      <c r="A1" s="16" t="s">
        <v>0</v>
      </c>
      <c r="B1" s="16" t="s">
        <v>1</v>
      </c>
      <c r="C1" s="16" t="s">
        <v>2</v>
      </c>
      <c r="D1" s="30" t="s">
        <v>238</v>
      </c>
      <c r="E1" s="30" t="s">
        <v>233</v>
      </c>
      <c r="F1" s="30" t="s">
        <v>154</v>
      </c>
      <c r="G1" s="30" t="s">
        <v>373</v>
      </c>
      <c r="H1" s="30" t="s">
        <v>239</v>
      </c>
      <c r="I1" s="30" t="s">
        <v>240</v>
      </c>
      <c r="J1" s="30" t="s">
        <v>241</v>
      </c>
      <c r="K1" s="30" t="s">
        <v>242</v>
      </c>
      <c r="L1" s="30" t="s">
        <v>155</v>
      </c>
      <c r="M1" s="30" t="s">
        <v>243</v>
      </c>
      <c r="N1" s="30" t="s">
        <v>245</v>
      </c>
      <c r="O1" s="30" t="s">
        <v>254</v>
      </c>
      <c r="P1" s="30" t="s">
        <v>247</v>
      </c>
      <c r="Q1" s="30" t="s">
        <v>248</v>
      </c>
      <c r="R1" s="30" t="s">
        <v>380</v>
      </c>
      <c r="S1" s="30" t="s">
        <v>365</v>
      </c>
      <c r="T1" s="30" t="s">
        <v>250</v>
      </c>
      <c r="U1" s="30" t="s">
        <v>253</v>
      </c>
      <c r="V1" s="30" t="s">
        <v>251</v>
      </c>
      <c r="W1" s="30" t="s">
        <v>252</v>
      </c>
      <c r="X1" s="30" t="s">
        <v>367</v>
      </c>
    </row>
    <row r="2" spans="1:24" s="5" customFormat="1" ht="16.5" x14ac:dyDescent="0.2">
      <c r="A2" s="17">
        <v>1</v>
      </c>
      <c r="B2" s="17" t="s">
        <v>698</v>
      </c>
      <c r="C2" s="70" t="s">
        <v>737</v>
      </c>
      <c r="D2" s="20" t="s">
        <v>232</v>
      </c>
      <c r="E2" s="20" t="s">
        <v>370</v>
      </c>
      <c r="F2" s="21" t="s">
        <v>372</v>
      </c>
      <c r="G2" s="21" t="s">
        <v>375</v>
      </c>
      <c r="H2" s="21" t="s">
        <v>237</v>
      </c>
      <c r="I2" s="60">
        <v>1</v>
      </c>
      <c r="J2" s="75">
        <v>4.1999999999999997E-3</v>
      </c>
      <c r="K2" s="63">
        <v>49.99</v>
      </c>
      <c r="L2" s="21" t="s">
        <v>377</v>
      </c>
      <c r="M2" s="21" t="s">
        <v>244</v>
      </c>
      <c r="N2" s="65" t="s">
        <v>379</v>
      </c>
      <c r="O2" s="17" t="s">
        <v>257</v>
      </c>
      <c r="P2" s="17" t="s">
        <v>244</v>
      </c>
      <c r="Q2" s="17">
        <v>0</v>
      </c>
      <c r="R2" s="17">
        <v>0</v>
      </c>
      <c r="S2" s="17">
        <v>0</v>
      </c>
      <c r="T2" s="21" t="s">
        <v>382</v>
      </c>
      <c r="U2" s="67">
        <v>1</v>
      </c>
      <c r="V2" s="60">
        <v>3</v>
      </c>
      <c r="W2" s="17">
        <v>10</v>
      </c>
      <c r="X2" s="17">
        <v>54.2</v>
      </c>
    </row>
    <row r="3" spans="1:24" s="5" customFormat="1" ht="16.5" x14ac:dyDescent="0.2">
      <c r="A3" s="1">
        <v>2</v>
      </c>
      <c r="B3" s="1" t="s">
        <v>699</v>
      </c>
      <c r="C3" s="71" t="s">
        <v>740</v>
      </c>
      <c r="D3" s="15" t="s">
        <v>232</v>
      </c>
      <c r="E3" s="15" t="s">
        <v>370</v>
      </c>
      <c r="F3" s="6" t="s">
        <v>372</v>
      </c>
      <c r="G3" s="6" t="s">
        <v>375</v>
      </c>
      <c r="H3" s="6" t="s">
        <v>237</v>
      </c>
      <c r="I3" s="61">
        <v>1</v>
      </c>
      <c r="J3" s="77">
        <v>4.1999999999999997E-3</v>
      </c>
      <c r="K3" s="62">
        <v>49.99</v>
      </c>
      <c r="L3" s="6" t="s">
        <v>377</v>
      </c>
      <c r="M3" s="6" t="s">
        <v>244</v>
      </c>
      <c r="N3" s="64" t="s">
        <v>379</v>
      </c>
      <c r="O3" s="1" t="s">
        <v>257</v>
      </c>
      <c r="P3" s="1" t="s">
        <v>244</v>
      </c>
      <c r="Q3" s="1">
        <v>0</v>
      </c>
      <c r="R3" s="1">
        <v>0</v>
      </c>
      <c r="S3" s="1">
        <v>0</v>
      </c>
      <c r="T3" s="6" t="s">
        <v>382</v>
      </c>
      <c r="U3" s="66">
        <v>1</v>
      </c>
      <c r="V3" s="61">
        <v>3</v>
      </c>
      <c r="W3" s="1">
        <v>10</v>
      </c>
      <c r="X3" s="1">
        <v>54.2</v>
      </c>
    </row>
    <row r="4" spans="1:24" s="5" customFormat="1" ht="16.5" x14ac:dyDescent="0.2">
      <c r="A4" s="17">
        <v>3</v>
      </c>
      <c r="B4" s="17" t="s">
        <v>700</v>
      </c>
      <c r="C4" s="70" t="s">
        <v>738</v>
      </c>
      <c r="D4" s="20" t="s">
        <v>368</v>
      </c>
      <c r="E4" s="20" t="s">
        <v>369</v>
      </c>
      <c r="F4" s="21" t="s">
        <v>371</v>
      </c>
      <c r="G4" s="21" t="s">
        <v>374</v>
      </c>
      <c r="H4" s="21" t="s">
        <v>236</v>
      </c>
      <c r="I4" s="60">
        <v>1</v>
      </c>
      <c r="J4" s="75">
        <v>4.1999999999999997E-3</v>
      </c>
      <c r="K4" s="63">
        <v>49.99</v>
      </c>
      <c r="L4" s="21" t="s">
        <v>376</v>
      </c>
      <c r="M4" s="21" t="s">
        <v>244</v>
      </c>
      <c r="N4" s="65" t="s">
        <v>378</v>
      </c>
      <c r="O4" s="17" t="s">
        <v>256</v>
      </c>
      <c r="P4" s="17" t="s">
        <v>244</v>
      </c>
      <c r="Q4" s="17">
        <v>0</v>
      </c>
      <c r="R4" s="17">
        <v>0</v>
      </c>
      <c r="S4" s="17">
        <v>0</v>
      </c>
      <c r="T4" s="21" t="s">
        <v>381</v>
      </c>
      <c r="U4" s="67">
        <v>1</v>
      </c>
      <c r="V4" s="60">
        <v>3</v>
      </c>
      <c r="W4" s="17">
        <v>10</v>
      </c>
      <c r="X4" s="17">
        <v>54.2</v>
      </c>
    </row>
    <row r="5" spans="1:24" s="5" customFormat="1" ht="16.5" x14ac:dyDescent="0.2">
      <c r="A5" s="1">
        <v>4</v>
      </c>
      <c r="B5" s="1" t="s">
        <v>701</v>
      </c>
      <c r="C5" s="71" t="s">
        <v>741</v>
      </c>
      <c r="D5" s="15" t="s">
        <v>368</v>
      </c>
      <c r="E5" s="15" t="s">
        <v>369</v>
      </c>
      <c r="F5" s="6" t="s">
        <v>371</v>
      </c>
      <c r="G5" s="6" t="s">
        <v>374</v>
      </c>
      <c r="H5" s="6" t="s">
        <v>236</v>
      </c>
      <c r="I5" s="61">
        <v>1</v>
      </c>
      <c r="J5" s="77">
        <v>4.1999999999999997E-3</v>
      </c>
      <c r="K5" s="62">
        <v>49.99</v>
      </c>
      <c r="L5" s="6" t="s">
        <v>376</v>
      </c>
      <c r="M5" s="6" t="s">
        <v>244</v>
      </c>
      <c r="N5" s="64" t="s">
        <v>378</v>
      </c>
      <c r="O5" s="1" t="s">
        <v>256</v>
      </c>
      <c r="P5" s="1" t="s">
        <v>244</v>
      </c>
      <c r="Q5" s="1">
        <v>0</v>
      </c>
      <c r="R5" s="1">
        <v>0</v>
      </c>
      <c r="S5" s="1">
        <v>0</v>
      </c>
      <c r="T5" s="6" t="s">
        <v>381</v>
      </c>
      <c r="U5" s="66">
        <v>1</v>
      </c>
      <c r="V5" s="61">
        <v>3</v>
      </c>
      <c r="W5" s="1">
        <v>10</v>
      </c>
      <c r="X5" s="1">
        <v>54.2</v>
      </c>
    </row>
    <row r="6" spans="1:24" s="5" customFormat="1" ht="16.5" x14ac:dyDescent="0.2">
      <c r="A6" s="17">
        <v>5</v>
      </c>
      <c r="B6" s="17" t="s">
        <v>702</v>
      </c>
      <c r="C6" s="70" t="s">
        <v>739</v>
      </c>
      <c r="D6" s="20" t="s">
        <v>368</v>
      </c>
      <c r="E6" s="20" t="s">
        <v>369</v>
      </c>
      <c r="F6" s="21" t="s">
        <v>371</v>
      </c>
      <c r="G6" s="21" t="s">
        <v>374</v>
      </c>
      <c r="H6" s="21" t="s">
        <v>236</v>
      </c>
      <c r="I6" s="60">
        <v>1</v>
      </c>
      <c r="J6" s="75">
        <v>4.1999999999999997E-3</v>
      </c>
      <c r="K6" s="63">
        <v>49.99</v>
      </c>
      <c r="L6" s="21" t="s">
        <v>376</v>
      </c>
      <c r="M6" s="21" t="s">
        <v>244</v>
      </c>
      <c r="N6" s="65" t="s">
        <v>378</v>
      </c>
      <c r="O6" s="17" t="s">
        <v>256</v>
      </c>
      <c r="P6" s="17" t="s">
        <v>244</v>
      </c>
      <c r="Q6" s="17">
        <v>0</v>
      </c>
      <c r="R6" s="17">
        <v>0</v>
      </c>
      <c r="S6" s="17">
        <v>0</v>
      </c>
      <c r="T6" s="21" t="s">
        <v>381</v>
      </c>
      <c r="U6" s="67">
        <v>1</v>
      </c>
      <c r="V6" s="60">
        <v>3</v>
      </c>
      <c r="W6" s="17">
        <v>10</v>
      </c>
      <c r="X6" s="17">
        <v>54.2</v>
      </c>
    </row>
    <row r="7" spans="1:24" s="5" customFormat="1" ht="16.5" x14ac:dyDescent="0.2">
      <c r="A7" s="1">
        <v>6</v>
      </c>
      <c r="B7" s="1" t="s">
        <v>703</v>
      </c>
      <c r="C7" s="71" t="s">
        <v>742</v>
      </c>
      <c r="D7" s="15" t="s">
        <v>368</v>
      </c>
      <c r="E7" s="15" t="s">
        <v>369</v>
      </c>
      <c r="F7" s="6" t="s">
        <v>371</v>
      </c>
      <c r="G7" s="6" t="s">
        <v>374</v>
      </c>
      <c r="H7" s="6" t="s">
        <v>236</v>
      </c>
      <c r="I7" s="61">
        <v>1</v>
      </c>
      <c r="J7" s="77">
        <v>4.1999999999999997E-3</v>
      </c>
      <c r="K7" s="62">
        <v>49.99</v>
      </c>
      <c r="L7" s="6" t="s">
        <v>376</v>
      </c>
      <c r="M7" s="6" t="s">
        <v>244</v>
      </c>
      <c r="N7" s="64" t="s">
        <v>378</v>
      </c>
      <c r="O7" s="1" t="s">
        <v>256</v>
      </c>
      <c r="P7" s="1" t="s">
        <v>244</v>
      </c>
      <c r="Q7" s="1">
        <v>0</v>
      </c>
      <c r="R7" s="1">
        <v>0</v>
      </c>
      <c r="S7" s="1">
        <v>0</v>
      </c>
      <c r="T7" s="6" t="s">
        <v>381</v>
      </c>
      <c r="U7" s="66">
        <v>1</v>
      </c>
      <c r="V7" s="61">
        <v>3</v>
      </c>
      <c r="W7" s="1">
        <v>10</v>
      </c>
      <c r="X7" s="1">
        <v>54.2</v>
      </c>
    </row>
    <row r="8" spans="1:24" s="5" customFormat="1" ht="16.5" x14ac:dyDescent="0.2">
      <c r="A8" s="17">
        <v>7</v>
      </c>
      <c r="B8" s="17" t="s">
        <v>704</v>
      </c>
      <c r="C8" s="70" t="s">
        <v>743</v>
      </c>
      <c r="D8" s="20" t="s">
        <v>368</v>
      </c>
      <c r="E8" s="20" t="s">
        <v>369</v>
      </c>
      <c r="F8" s="21" t="s">
        <v>371</v>
      </c>
      <c r="G8" s="21" t="s">
        <v>374</v>
      </c>
      <c r="H8" s="21" t="s">
        <v>236</v>
      </c>
      <c r="I8" s="60">
        <v>1</v>
      </c>
      <c r="J8" s="75">
        <v>4.1999999999999997E-3</v>
      </c>
      <c r="K8" s="63">
        <v>49.99</v>
      </c>
      <c r="L8" s="21" t="s">
        <v>376</v>
      </c>
      <c r="M8" s="21" t="s">
        <v>244</v>
      </c>
      <c r="N8" s="65" t="s">
        <v>378</v>
      </c>
      <c r="O8" s="17" t="s">
        <v>256</v>
      </c>
      <c r="P8" s="17" t="s">
        <v>244</v>
      </c>
      <c r="Q8" s="17">
        <v>0</v>
      </c>
      <c r="R8" s="17">
        <v>0</v>
      </c>
      <c r="S8" s="17">
        <v>0</v>
      </c>
      <c r="T8" s="21" t="s">
        <v>381</v>
      </c>
      <c r="U8" s="67">
        <v>1</v>
      </c>
      <c r="V8" s="60">
        <v>3</v>
      </c>
      <c r="W8" s="17">
        <v>10</v>
      </c>
      <c r="X8" s="17">
        <v>54.2</v>
      </c>
    </row>
    <row r="9" spans="1:24" s="5" customFormat="1" ht="16.5" x14ac:dyDescent="0.2">
      <c r="A9" s="1">
        <v>8</v>
      </c>
      <c r="B9" s="1" t="s">
        <v>705</v>
      </c>
      <c r="C9" s="71" t="s">
        <v>744</v>
      </c>
      <c r="D9" s="15" t="s">
        <v>368</v>
      </c>
      <c r="E9" s="15" t="s">
        <v>369</v>
      </c>
      <c r="F9" s="6" t="s">
        <v>371</v>
      </c>
      <c r="G9" s="6" t="s">
        <v>374</v>
      </c>
      <c r="H9" s="6" t="s">
        <v>236</v>
      </c>
      <c r="I9" s="61">
        <v>1</v>
      </c>
      <c r="J9" s="77">
        <v>4.1999999999999997E-3</v>
      </c>
      <c r="K9" s="62">
        <v>49.99</v>
      </c>
      <c r="L9" s="6" t="s">
        <v>376</v>
      </c>
      <c r="M9" s="6" t="s">
        <v>244</v>
      </c>
      <c r="N9" s="64" t="s">
        <v>378</v>
      </c>
      <c r="O9" s="1" t="s">
        <v>256</v>
      </c>
      <c r="P9" s="1" t="s">
        <v>244</v>
      </c>
      <c r="Q9" s="1">
        <v>0</v>
      </c>
      <c r="R9" s="1">
        <v>0</v>
      </c>
      <c r="S9" s="1">
        <v>0</v>
      </c>
      <c r="T9" s="6" t="s">
        <v>381</v>
      </c>
      <c r="U9" s="66">
        <v>1</v>
      </c>
      <c r="V9" s="61">
        <v>3</v>
      </c>
      <c r="W9" s="1">
        <v>10</v>
      </c>
      <c r="X9" s="1">
        <v>54.2</v>
      </c>
    </row>
    <row r="10" spans="1:24" s="5" customFormat="1" ht="16.5" x14ac:dyDescent="0.2">
      <c r="A10" s="17">
        <v>9</v>
      </c>
      <c r="B10" s="17" t="s">
        <v>706</v>
      </c>
      <c r="C10" s="70" t="s">
        <v>751</v>
      </c>
      <c r="D10" s="20" t="s">
        <v>383</v>
      </c>
      <c r="E10" s="20" t="s">
        <v>385</v>
      </c>
      <c r="F10" s="21" t="s">
        <v>386</v>
      </c>
      <c r="G10" s="21" t="s">
        <v>388</v>
      </c>
      <c r="H10" s="21" t="s">
        <v>390</v>
      </c>
      <c r="I10" s="60">
        <v>1</v>
      </c>
      <c r="J10" s="75">
        <v>3.7000000000000002E-3</v>
      </c>
      <c r="K10" s="63">
        <v>49.99</v>
      </c>
      <c r="L10" s="21" t="s">
        <v>391</v>
      </c>
      <c r="M10" s="21" t="s">
        <v>392</v>
      </c>
      <c r="N10" s="65" t="s">
        <v>394</v>
      </c>
      <c r="O10" s="17" t="s">
        <v>256</v>
      </c>
      <c r="P10" s="17" t="s">
        <v>395</v>
      </c>
      <c r="Q10" s="17">
        <v>0</v>
      </c>
      <c r="R10" s="17">
        <v>0</v>
      </c>
      <c r="S10" s="17">
        <v>0</v>
      </c>
      <c r="T10" s="21" t="s">
        <v>396</v>
      </c>
      <c r="U10" s="67">
        <v>0.9</v>
      </c>
      <c r="V10" s="60">
        <v>3</v>
      </c>
      <c r="W10" s="17">
        <v>10</v>
      </c>
      <c r="X10" s="17">
        <v>54.5</v>
      </c>
    </row>
    <row r="11" spans="1:24" s="5" customFormat="1" ht="16.5" x14ac:dyDescent="0.2">
      <c r="A11" s="1">
        <v>10</v>
      </c>
      <c r="B11" s="1" t="s">
        <v>707</v>
      </c>
      <c r="C11" s="71" t="s">
        <v>753</v>
      </c>
      <c r="D11" s="15" t="s">
        <v>383</v>
      </c>
      <c r="E11" s="15" t="s">
        <v>385</v>
      </c>
      <c r="F11" s="6" t="s">
        <v>386</v>
      </c>
      <c r="G11" s="6" t="s">
        <v>388</v>
      </c>
      <c r="H11" s="6" t="s">
        <v>390</v>
      </c>
      <c r="I11" s="61">
        <v>1</v>
      </c>
      <c r="J11" s="77">
        <v>3.7000000000000002E-3</v>
      </c>
      <c r="K11" s="62">
        <v>49.99</v>
      </c>
      <c r="L11" s="6" t="s">
        <v>391</v>
      </c>
      <c r="M11" s="6" t="s">
        <v>392</v>
      </c>
      <c r="N11" s="64" t="s">
        <v>394</v>
      </c>
      <c r="O11" s="1" t="s">
        <v>256</v>
      </c>
      <c r="P11" s="1" t="s">
        <v>395</v>
      </c>
      <c r="Q11" s="1">
        <v>0</v>
      </c>
      <c r="R11" s="1">
        <v>0</v>
      </c>
      <c r="S11" s="1">
        <v>0</v>
      </c>
      <c r="T11" s="6" t="s">
        <v>396</v>
      </c>
      <c r="U11" s="66">
        <v>0.9</v>
      </c>
      <c r="V11" s="61">
        <v>3</v>
      </c>
      <c r="W11" s="1">
        <v>10</v>
      </c>
      <c r="X11" s="1">
        <v>54.5</v>
      </c>
    </row>
    <row r="12" spans="1:24" s="5" customFormat="1" ht="16.5" x14ac:dyDescent="0.2">
      <c r="A12" s="17">
        <v>11</v>
      </c>
      <c r="B12" s="17" t="s">
        <v>708</v>
      </c>
      <c r="C12" s="70" t="s">
        <v>752</v>
      </c>
      <c r="D12" s="20" t="s">
        <v>383</v>
      </c>
      <c r="E12" s="20" t="s">
        <v>385</v>
      </c>
      <c r="F12" s="21" t="s">
        <v>386</v>
      </c>
      <c r="G12" s="21" t="s">
        <v>388</v>
      </c>
      <c r="H12" s="21" t="s">
        <v>390</v>
      </c>
      <c r="I12" s="60">
        <v>1</v>
      </c>
      <c r="J12" s="75">
        <v>3.7000000000000002E-3</v>
      </c>
      <c r="K12" s="63">
        <v>49.99</v>
      </c>
      <c r="L12" s="21" t="s">
        <v>391</v>
      </c>
      <c r="M12" s="21" t="s">
        <v>392</v>
      </c>
      <c r="N12" s="65" t="s">
        <v>394</v>
      </c>
      <c r="O12" s="17" t="s">
        <v>256</v>
      </c>
      <c r="P12" s="17" t="s">
        <v>395</v>
      </c>
      <c r="Q12" s="17">
        <v>0</v>
      </c>
      <c r="R12" s="17">
        <v>0</v>
      </c>
      <c r="S12" s="17">
        <v>0</v>
      </c>
      <c r="T12" s="21" t="s">
        <v>396</v>
      </c>
      <c r="U12" s="67">
        <v>0.9</v>
      </c>
      <c r="V12" s="60">
        <v>3</v>
      </c>
      <c r="W12" s="17">
        <v>10</v>
      </c>
      <c r="X12" s="17">
        <v>54.5</v>
      </c>
    </row>
    <row r="13" spans="1:24" s="5" customFormat="1" ht="16.5" x14ac:dyDescent="0.2">
      <c r="A13" s="1">
        <v>12</v>
      </c>
      <c r="B13" s="1" t="s">
        <v>709</v>
      </c>
      <c r="C13" s="71" t="s">
        <v>772</v>
      </c>
      <c r="D13" s="15" t="s">
        <v>383</v>
      </c>
      <c r="E13" s="15" t="s">
        <v>385</v>
      </c>
      <c r="F13" s="6" t="s">
        <v>386</v>
      </c>
      <c r="G13" s="6" t="s">
        <v>388</v>
      </c>
      <c r="H13" s="6" t="s">
        <v>390</v>
      </c>
      <c r="I13" s="61">
        <v>1</v>
      </c>
      <c r="J13" s="77">
        <v>3.7000000000000002E-3</v>
      </c>
      <c r="K13" s="62">
        <v>49.99</v>
      </c>
      <c r="L13" s="6" t="s">
        <v>391</v>
      </c>
      <c r="M13" s="6" t="s">
        <v>392</v>
      </c>
      <c r="N13" s="64" t="s">
        <v>394</v>
      </c>
      <c r="O13" s="1" t="s">
        <v>256</v>
      </c>
      <c r="P13" s="1" t="s">
        <v>395</v>
      </c>
      <c r="Q13" s="1">
        <v>0</v>
      </c>
      <c r="R13" s="1">
        <v>0</v>
      </c>
      <c r="S13" s="1">
        <v>0</v>
      </c>
      <c r="T13" s="6" t="s">
        <v>396</v>
      </c>
      <c r="U13" s="66">
        <v>0.9</v>
      </c>
      <c r="V13" s="61">
        <v>3</v>
      </c>
      <c r="W13" s="1">
        <v>10</v>
      </c>
      <c r="X13" s="1">
        <v>54.5</v>
      </c>
    </row>
    <row r="14" spans="1:24" s="5" customFormat="1" ht="16.5" x14ac:dyDescent="0.2">
      <c r="A14" s="17">
        <v>13</v>
      </c>
      <c r="B14" s="17" t="s">
        <v>710</v>
      </c>
      <c r="C14" s="70" t="s">
        <v>774</v>
      </c>
      <c r="D14" s="20" t="s">
        <v>383</v>
      </c>
      <c r="E14" s="20" t="s">
        <v>385</v>
      </c>
      <c r="F14" s="21" t="s">
        <v>386</v>
      </c>
      <c r="G14" s="21" t="s">
        <v>388</v>
      </c>
      <c r="H14" s="21" t="s">
        <v>390</v>
      </c>
      <c r="I14" s="60">
        <v>1</v>
      </c>
      <c r="J14" s="75">
        <v>3.7000000000000002E-3</v>
      </c>
      <c r="K14" s="63">
        <v>49.99</v>
      </c>
      <c r="L14" s="21" t="s">
        <v>391</v>
      </c>
      <c r="M14" s="21" t="s">
        <v>392</v>
      </c>
      <c r="N14" s="65" t="s">
        <v>394</v>
      </c>
      <c r="O14" s="17" t="s">
        <v>256</v>
      </c>
      <c r="P14" s="17" t="s">
        <v>395</v>
      </c>
      <c r="Q14" s="17">
        <v>0</v>
      </c>
      <c r="R14" s="17">
        <v>0</v>
      </c>
      <c r="S14" s="17">
        <v>0</v>
      </c>
      <c r="T14" s="21" t="s">
        <v>396</v>
      </c>
      <c r="U14" s="67">
        <v>0.9</v>
      </c>
      <c r="V14" s="60">
        <v>3</v>
      </c>
      <c r="W14" s="17">
        <v>10</v>
      </c>
      <c r="X14" s="17">
        <v>54.5</v>
      </c>
    </row>
    <row r="15" spans="1:24" s="5" customFormat="1" ht="16.5" x14ac:dyDescent="0.2">
      <c r="A15" s="1">
        <v>14</v>
      </c>
      <c r="B15" s="1" t="s">
        <v>711</v>
      </c>
      <c r="C15" s="71" t="s">
        <v>773</v>
      </c>
      <c r="D15" s="15" t="s">
        <v>383</v>
      </c>
      <c r="E15" s="15" t="s">
        <v>385</v>
      </c>
      <c r="F15" s="6" t="s">
        <v>386</v>
      </c>
      <c r="G15" s="6" t="s">
        <v>388</v>
      </c>
      <c r="H15" s="6" t="s">
        <v>390</v>
      </c>
      <c r="I15" s="61">
        <v>1</v>
      </c>
      <c r="J15" s="77">
        <v>3.7000000000000002E-3</v>
      </c>
      <c r="K15" s="62">
        <v>49.99</v>
      </c>
      <c r="L15" s="6" t="s">
        <v>391</v>
      </c>
      <c r="M15" s="6" t="s">
        <v>392</v>
      </c>
      <c r="N15" s="64" t="s">
        <v>394</v>
      </c>
      <c r="O15" s="1" t="s">
        <v>256</v>
      </c>
      <c r="P15" s="1" t="s">
        <v>395</v>
      </c>
      <c r="Q15" s="1">
        <v>0</v>
      </c>
      <c r="R15" s="1">
        <v>0</v>
      </c>
      <c r="S15" s="1">
        <v>0</v>
      </c>
      <c r="T15" s="6" t="s">
        <v>396</v>
      </c>
      <c r="U15" s="66">
        <v>0.9</v>
      </c>
      <c r="V15" s="61">
        <v>3</v>
      </c>
      <c r="W15" s="1">
        <v>10</v>
      </c>
      <c r="X15" s="1">
        <v>54.5</v>
      </c>
    </row>
    <row r="16" spans="1:24" s="5" customFormat="1" ht="16.5" x14ac:dyDescent="0.2">
      <c r="A16" s="17">
        <v>15</v>
      </c>
      <c r="B16" s="17" t="s">
        <v>712</v>
      </c>
      <c r="C16" s="70" t="s">
        <v>770</v>
      </c>
      <c r="D16" s="20" t="s">
        <v>383</v>
      </c>
      <c r="E16" s="20" t="s">
        <v>385</v>
      </c>
      <c r="F16" s="21" t="s">
        <v>386</v>
      </c>
      <c r="G16" s="21" t="s">
        <v>388</v>
      </c>
      <c r="H16" s="21" t="s">
        <v>390</v>
      </c>
      <c r="I16" s="60">
        <v>1</v>
      </c>
      <c r="J16" s="75">
        <v>3.7000000000000002E-3</v>
      </c>
      <c r="K16" s="63">
        <v>49.99</v>
      </c>
      <c r="L16" s="21" t="s">
        <v>391</v>
      </c>
      <c r="M16" s="21" t="s">
        <v>392</v>
      </c>
      <c r="N16" s="65" t="s">
        <v>394</v>
      </c>
      <c r="O16" s="17" t="s">
        <v>256</v>
      </c>
      <c r="P16" s="17" t="s">
        <v>395</v>
      </c>
      <c r="Q16" s="17">
        <v>0</v>
      </c>
      <c r="R16" s="17">
        <v>0</v>
      </c>
      <c r="S16" s="17">
        <v>0</v>
      </c>
      <c r="T16" s="21" t="s">
        <v>396</v>
      </c>
      <c r="U16" s="67">
        <v>0.9</v>
      </c>
      <c r="V16" s="60">
        <v>3</v>
      </c>
      <c r="W16" s="17">
        <v>10</v>
      </c>
      <c r="X16" s="17">
        <v>54.5</v>
      </c>
    </row>
    <row r="17" spans="1:24" s="5" customFormat="1" ht="16.5" x14ac:dyDescent="0.2">
      <c r="A17" s="1">
        <v>16</v>
      </c>
      <c r="B17" s="1" t="s">
        <v>713</v>
      </c>
      <c r="C17" s="71" t="s">
        <v>771</v>
      </c>
      <c r="D17" s="15" t="s">
        <v>383</v>
      </c>
      <c r="E17" s="15" t="s">
        <v>385</v>
      </c>
      <c r="F17" s="6" t="s">
        <v>386</v>
      </c>
      <c r="G17" s="6" t="s">
        <v>388</v>
      </c>
      <c r="H17" s="6" t="s">
        <v>390</v>
      </c>
      <c r="I17" s="61">
        <v>1</v>
      </c>
      <c r="J17" s="77">
        <v>3.7000000000000002E-3</v>
      </c>
      <c r="K17" s="62">
        <v>49.99</v>
      </c>
      <c r="L17" s="6" t="s">
        <v>391</v>
      </c>
      <c r="M17" s="6" t="s">
        <v>392</v>
      </c>
      <c r="N17" s="64" t="s">
        <v>394</v>
      </c>
      <c r="O17" s="1" t="s">
        <v>256</v>
      </c>
      <c r="P17" s="1" t="s">
        <v>395</v>
      </c>
      <c r="Q17" s="1">
        <v>0</v>
      </c>
      <c r="R17" s="1">
        <v>0</v>
      </c>
      <c r="S17" s="1">
        <v>0</v>
      </c>
      <c r="T17" s="6" t="s">
        <v>396</v>
      </c>
      <c r="U17" s="66">
        <v>0.9</v>
      </c>
      <c r="V17" s="61">
        <v>3</v>
      </c>
      <c r="W17" s="1">
        <v>10</v>
      </c>
      <c r="X17" s="1">
        <v>54.5</v>
      </c>
    </row>
    <row r="18" spans="1:24" s="5" customFormat="1" ht="16.5" x14ac:dyDescent="0.3">
      <c r="A18" s="17">
        <v>17</v>
      </c>
      <c r="B18" s="10" t="s">
        <v>344</v>
      </c>
      <c r="C18" s="80" t="s">
        <v>338</v>
      </c>
      <c r="D18" s="15" t="s">
        <v>383</v>
      </c>
      <c r="E18" s="15" t="s">
        <v>385</v>
      </c>
      <c r="F18" s="6" t="s">
        <v>386</v>
      </c>
      <c r="G18" s="6" t="s">
        <v>388</v>
      </c>
      <c r="H18" s="6" t="s">
        <v>390</v>
      </c>
      <c r="I18" s="61">
        <v>1</v>
      </c>
      <c r="J18" s="77">
        <v>3.7000000000000002E-3</v>
      </c>
      <c r="K18" s="62">
        <v>49.99</v>
      </c>
      <c r="L18" s="6" t="s">
        <v>391</v>
      </c>
      <c r="M18" s="6" t="s">
        <v>392</v>
      </c>
      <c r="N18" s="64" t="s">
        <v>394</v>
      </c>
      <c r="O18" s="1" t="s">
        <v>256</v>
      </c>
      <c r="P18" s="1" t="s">
        <v>395</v>
      </c>
      <c r="Q18" s="1">
        <v>0</v>
      </c>
      <c r="R18" s="1">
        <v>0</v>
      </c>
      <c r="S18" s="1">
        <v>0</v>
      </c>
      <c r="T18" s="6" t="s">
        <v>396</v>
      </c>
      <c r="U18" s="66">
        <v>0.9</v>
      </c>
      <c r="V18" s="61">
        <v>3</v>
      </c>
      <c r="W18" s="1">
        <v>10</v>
      </c>
      <c r="X18" s="1">
        <v>54.5</v>
      </c>
    </row>
    <row r="19" spans="1:24" ht="16.5" x14ac:dyDescent="0.3">
      <c r="A19" s="1">
        <v>18</v>
      </c>
      <c r="B19" s="23" t="s">
        <v>345</v>
      </c>
      <c r="C19" s="72" t="s">
        <v>339</v>
      </c>
      <c r="D19" s="20" t="s">
        <v>383</v>
      </c>
      <c r="E19" s="20" t="s">
        <v>385</v>
      </c>
      <c r="F19" s="21" t="s">
        <v>386</v>
      </c>
      <c r="G19" s="21" t="s">
        <v>388</v>
      </c>
      <c r="H19" s="21" t="s">
        <v>390</v>
      </c>
      <c r="I19" s="60">
        <v>1</v>
      </c>
      <c r="J19" s="75">
        <v>3.7000000000000002E-3</v>
      </c>
      <c r="K19" s="63">
        <v>49.99</v>
      </c>
      <c r="L19" s="21" t="s">
        <v>391</v>
      </c>
      <c r="M19" s="21" t="s">
        <v>392</v>
      </c>
      <c r="N19" s="65" t="s">
        <v>394</v>
      </c>
      <c r="O19" s="17" t="s">
        <v>256</v>
      </c>
      <c r="P19" s="17" t="s">
        <v>395</v>
      </c>
      <c r="Q19" s="17">
        <v>0</v>
      </c>
      <c r="R19" s="17">
        <v>0</v>
      </c>
      <c r="S19" s="17">
        <v>0</v>
      </c>
      <c r="T19" s="21" t="s">
        <v>396</v>
      </c>
      <c r="U19" s="67">
        <v>0.9</v>
      </c>
      <c r="V19" s="60">
        <v>3</v>
      </c>
      <c r="W19" s="17">
        <v>10</v>
      </c>
      <c r="X19" s="17">
        <v>54.5</v>
      </c>
    </row>
    <row r="20" spans="1:24" ht="16.5" x14ac:dyDescent="0.3">
      <c r="A20" s="17">
        <v>19</v>
      </c>
      <c r="B20" s="23" t="s">
        <v>38</v>
      </c>
      <c r="C20" s="73" t="s">
        <v>649</v>
      </c>
      <c r="D20" s="20" t="s">
        <v>368</v>
      </c>
      <c r="E20" s="20" t="s">
        <v>369</v>
      </c>
      <c r="F20" s="21" t="s">
        <v>371</v>
      </c>
      <c r="G20" s="21" t="s">
        <v>374</v>
      </c>
      <c r="H20" s="21" t="s">
        <v>237</v>
      </c>
      <c r="I20" s="60">
        <v>1</v>
      </c>
      <c r="J20" s="75">
        <v>4.1999999999999997E-3</v>
      </c>
      <c r="K20" s="63">
        <v>49.99</v>
      </c>
      <c r="L20" s="21" t="s">
        <v>376</v>
      </c>
      <c r="M20" s="21" t="s">
        <v>244</v>
      </c>
      <c r="N20" s="65" t="s">
        <v>378</v>
      </c>
      <c r="O20" s="17" t="s">
        <v>256</v>
      </c>
      <c r="P20" s="17" t="s">
        <v>244</v>
      </c>
      <c r="Q20" s="17">
        <v>0</v>
      </c>
      <c r="R20" s="17">
        <v>0</v>
      </c>
      <c r="S20" s="17">
        <v>0</v>
      </c>
      <c r="T20" s="21" t="s">
        <v>381</v>
      </c>
      <c r="U20" s="67">
        <v>1</v>
      </c>
      <c r="V20" s="60">
        <v>3</v>
      </c>
      <c r="W20" s="17">
        <v>10</v>
      </c>
      <c r="X20" s="17">
        <v>54.2</v>
      </c>
    </row>
    <row r="21" spans="1:24" ht="16.5" x14ac:dyDescent="0.3">
      <c r="A21" s="1">
        <v>20</v>
      </c>
      <c r="B21" s="10" t="s">
        <v>39</v>
      </c>
      <c r="C21" s="79" t="s">
        <v>650</v>
      </c>
      <c r="D21" s="15" t="s">
        <v>368</v>
      </c>
      <c r="E21" s="15" t="s">
        <v>369</v>
      </c>
      <c r="F21" s="6" t="s">
        <v>371</v>
      </c>
      <c r="G21" s="6" t="s">
        <v>374</v>
      </c>
      <c r="H21" s="6" t="s">
        <v>237</v>
      </c>
      <c r="I21" s="61">
        <v>1</v>
      </c>
      <c r="J21" s="77">
        <v>4.1999999999999997E-3</v>
      </c>
      <c r="K21" s="62">
        <v>49.99</v>
      </c>
      <c r="L21" s="6" t="s">
        <v>376</v>
      </c>
      <c r="M21" s="6" t="s">
        <v>244</v>
      </c>
      <c r="N21" s="64" t="s">
        <v>378</v>
      </c>
      <c r="O21" s="1" t="s">
        <v>256</v>
      </c>
      <c r="P21" s="1" t="s">
        <v>244</v>
      </c>
      <c r="Q21" s="1">
        <v>0</v>
      </c>
      <c r="R21" s="1">
        <v>0</v>
      </c>
      <c r="S21" s="1">
        <v>0</v>
      </c>
      <c r="T21" s="6" t="s">
        <v>381</v>
      </c>
      <c r="U21" s="66">
        <v>1</v>
      </c>
      <c r="V21" s="61">
        <v>3</v>
      </c>
      <c r="W21" s="1">
        <v>10</v>
      </c>
      <c r="X21" s="1">
        <v>54.2</v>
      </c>
    </row>
    <row r="22" spans="1:24" ht="16.5" x14ac:dyDescent="0.3">
      <c r="A22" s="17">
        <v>21</v>
      </c>
      <c r="B22" s="23" t="s">
        <v>40</v>
      </c>
      <c r="C22" s="73" t="s">
        <v>651</v>
      </c>
      <c r="D22" s="20" t="s">
        <v>368</v>
      </c>
      <c r="E22" s="20" t="s">
        <v>369</v>
      </c>
      <c r="F22" s="21" t="s">
        <v>371</v>
      </c>
      <c r="G22" s="21" t="s">
        <v>374</v>
      </c>
      <c r="H22" s="21" t="s">
        <v>237</v>
      </c>
      <c r="I22" s="60">
        <v>1</v>
      </c>
      <c r="J22" s="75">
        <v>4.1999999999999997E-3</v>
      </c>
      <c r="K22" s="63">
        <v>49.99</v>
      </c>
      <c r="L22" s="21" t="s">
        <v>376</v>
      </c>
      <c r="M22" s="21" t="s">
        <v>244</v>
      </c>
      <c r="N22" s="65" t="s">
        <v>378</v>
      </c>
      <c r="O22" s="17" t="s">
        <v>256</v>
      </c>
      <c r="P22" s="17" t="s">
        <v>244</v>
      </c>
      <c r="Q22" s="17">
        <v>0</v>
      </c>
      <c r="R22" s="17">
        <v>0</v>
      </c>
      <c r="S22" s="17">
        <v>0</v>
      </c>
      <c r="T22" s="21" t="s">
        <v>381</v>
      </c>
      <c r="U22" s="67">
        <v>1</v>
      </c>
      <c r="V22" s="60">
        <v>3</v>
      </c>
      <c r="W22" s="17">
        <v>10</v>
      </c>
      <c r="X22" s="17">
        <v>54.2</v>
      </c>
    </row>
    <row r="23" spans="1:24" ht="16.5" x14ac:dyDescent="0.2">
      <c r="E23" s="44" t="s">
        <v>234</v>
      </c>
      <c r="F23" s="44" t="s">
        <v>235</v>
      </c>
      <c r="G23" s="55"/>
      <c r="L23" s="43" t="s">
        <v>156</v>
      </c>
      <c r="M23" s="43" t="s">
        <v>393</v>
      </c>
      <c r="N23" s="45" t="s">
        <v>246</v>
      </c>
      <c r="O23" s="45" t="s">
        <v>246</v>
      </c>
      <c r="R23" s="45" t="s">
        <v>249</v>
      </c>
      <c r="S23" s="45"/>
      <c r="T23" s="45" t="s">
        <v>234</v>
      </c>
      <c r="W23" s="68">
        <v>1.25</v>
      </c>
      <c r="X23" s="68"/>
    </row>
  </sheetData>
  <phoneticPr fontId="25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4"/>
  <sheetViews>
    <sheetView zoomScale="80" zoomScaleNormal="80" workbookViewId="0">
      <selection activeCell="C25" sqref="C25"/>
    </sheetView>
  </sheetViews>
  <sheetFormatPr defaultColWidth="9" defaultRowHeight="14.25" x14ac:dyDescent="0.2"/>
  <cols>
    <col min="1" max="1" width="6.375" customWidth="1"/>
    <col min="2" max="2" width="23.25" customWidth="1"/>
    <col min="3" max="3" width="45.875" customWidth="1"/>
    <col min="4" max="5" width="10.75" bestFit="1" customWidth="1"/>
    <col min="6" max="6" width="8.5" customWidth="1"/>
    <col min="7" max="7" width="13.375" bestFit="1" customWidth="1"/>
    <col min="8" max="8" width="15" bestFit="1" customWidth="1"/>
    <col min="9" max="9" width="11.125" bestFit="1" customWidth="1"/>
    <col min="10" max="11" width="8.5" bestFit="1" customWidth="1"/>
    <col min="12" max="12" width="24.75" customWidth="1"/>
    <col min="13" max="13" width="10.75" customWidth="1"/>
    <col min="14" max="14" width="12.125" bestFit="1" customWidth="1"/>
    <col min="15" max="15" width="13.25" bestFit="1" customWidth="1"/>
    <col min="16" max="16" width="40.25" customWidth="1"/>
    <col min="17" max="17" width="8.25" bestFit="1" customWidth="1"/>
    <col min="18" max="18" width="6.375" bestFit="1" customWidth="1"/>
    <col min="19" max="20" width="10.75" bestFit="1" customWidth="1"/>
    <col min="21" max="21" width="12.5" customWidth="1"/>
    <col min="22" max="22" width="6.375" bestFit="1" customWidth="1"/>
    <col min="23" max="23" width="4.625" bestFit="1" customWidth="1"/>
    <col min="24" max="24" width="16.125" bestFit="1" customWidth="1"/>
    <col min="25" max="25" width="6.375" bestFit="1" customWidth="1"/>
  </cols>
  <sheetData>
    <row r="1" spans="1:25" s="18" customFormat="1" ht="18" x14ac:dyDescent="0.2">
      <c r="A1" s="16" t="s">
        <v>0</v>
      </c>
      <c r="B1" s="16" t="s">
        <v>1</v>
      </c>
      <c r="C1" s="16" t="s">
        <v>2</v>
      </c>
      <c r="D1" s="16" t="s">
        <v>31</v>
      </c>
      <c r="E1" s="16" t="s">
        <v>32</v>
      </c>
      <c r="F1" s="16" t="s">
        <v>217</v>
      </c>
      <c r="G1" s="16" t="s">
        <v>43</v>
      </c>
      <c r="H1" s="16" t="s">
        <v>3</v>
      </c>
      <c r="I1" s="16" t="s">
        <v>4</v>
      </c>
      <c r="J1" s="16" t="s">
        <v>132</v>
      </c>
      <c r="K1" s="16" t="s">
        <v>66</v>
      </c>
      <c r="L1" s="16" t="s">
        <v>67</v>
      </c>
      <c r="M1" s="16" t="s">
        <v>497</v>
      </c>
      <c r="N1" s="16" t="s">
        <v>158</v>
      </c>
      <c r="O1" s="16" t="s">
        <v>159</v>
      </c>
      <c r="P1" s="16" t="s">
        <v>8</v>
      </c>
      <c r="Q1" s="16" t="s">
        <v>65</v>
      </c>
      <c r="R1" s="16" t="s">
        <v>68</v>
      </c>
      <c r="S1" s="16" t="s">
        <v>50</v>
      </c>
      <c r="T1" s="16" t="s">
        <v>69</v>
      </c>
      <c r="U1" s="16" t="s">
        <v>11</v>
      </c>
      <c r="V1" s="30" t="s">
        <v>124</v>
      </c>
      <c r="W1" s="30" t="s">
        <v>131</v>
      </c>
      <c r="X1" s="30" t="s">
        <v>126</v>
      </c>
      <c r="Y1" s="30" t="s">
        <v>128</v>
      </c>
    </row>
    <row r="2" spans="1:25" s="18" customFormat="1" ht="18" x14ac:dyDescent="0.2">
      <c r="A2" s="17">
        <v>1</v>
      </c>
      <c r="B2" s="17" t="s">
        <v>714</v>
      </c>
      <c r="C2" s="70" t="s">
        <v>775</v>
      </c>
      <c r="D2" s="17">
        <v>1</v>
      </c>
      <c r="E2" s="17" t="s">
        <v>736</v>
      </c>
      <c r="F2" s="17" t="s">
        <v>736</v>
      </c>
      <c r="G2" s="17" t="s">
        <v>736</v>
      </c>
      <c r="H2" s="17" t="s">
        <v>13</v>
      </c>
      <c r="I2" s="17" t="s">
        <v>745</v>
      </c>
      <c r="J2" s="17" t="s">
        <v>812</v>
      </c>
      <c r="K2" s="17" t="s">
        <v>748</v>
      </c>
      <c r="L2" s="105"/>
      <c r="M2" s="75">
        <v>0.96650000000000003</v>
      </c>
      <c r="N2" s="21" t="s">
        <v>573</v>
      </c>
      <c r="O2" s="21" t="s">
        <v>529</v>
      </c>
      <c r="P2" s="37" t="s">
        <v>759</v>
      </c>
      <c r="Q2" s="37" t="s">
        <v>758</v>
      </c>
      <c r="R2" s="17" t="s">
        <v>799</v>
      </c>
      <c r="S2" s="105"/>
      <c r="T2" s="105"/>
      <c r="U2" s="32"/>
      <c r="V2" s="42" t="s">
        <v>127</v>
      </c>
      <c r="W2" s="42"/>
      <c r="X2" s="42" t="s">
        <v>127</v>
      </c>
      <c r="Y2" s="42"/>
    </row>
    <row r="3" spans="1:25" s="18" customFormat="1" ht="18" x14ac:dyDescent="0.2">
      <c r="A3" s="1">
        <v>2</v>
      </c>
      <c r="B3" s="1" t="s">
        <v>715</v>
      </c>
      <c r="C3" s="71" t="s">
        <v>776</v>
      </c>
      <c r="D3" s="1">
        <v>1</v>
      </c>
      <c r="E3" s="1" t="s">
        <v>736</v>
      </c>
      <c r="F3" s="1" t="s">
        <v>736</v>
      </c>
      <c r="G3" s="1" t="s">
        <v>736</v>
      </c>
      <c r="H3" s="1" t="s">
        <v>736</v>
      </c>
      <c r="I3" s="1">
        <v>3</v>
      </c>
      <c r="J3" s="1" t="s">
        <v>812</v>
      </c>
      <c r="K3" s="1" t="s">
        <v>748</v>
      </c>
      <c r="L3" s="95"/>
      <c r="M3" s="77">
        <v>0.96650000000000003</v>
      </c>
      <c r="N3" s="6" t="s">
        <v>573</v>
      </c>
      <c r="O3" s="6" t="s">
        <v>530</v>
      </c>
      <c r="P3" s="9" t="s">
        <v>760</v>
      </c>
      <c r="Q3" s="9" t="s">
        <v>758</v>
      </c>
      <c r="R3" s="1" t="s">
        <v>799</v>
      </c>
      <c r="S3" s="95"/>
      <c r="T3" s="95"/>
      <c r="U3" s="2"/>
      <c r="V3" s="56" t="s">
        <v>768</v>
      </c>
      <c r="W3" s="56"/>
      <c r="X3" s="56" t="s">
        <v>768</v>
      </c>
      <c r="Y3" s="56"/>
    </row>
    <row r="4" spans="1:25" s="18" customFormat="1" ht="18" x14ac:dyDescent="0.2">
      <c r="A4" s="17">
        <v>3</v>
      </c>
      <c r="B4" s="17" t="s">
        <v>716</v>
      </c>
      <c r="C4" s="70" t="s">
        <v>777</v>
      </c>
      <c r="D4" s="17">
        <v>1</v>
      </c>
      <c r="E4" s="17" t="s">
        <v>736</v>
      </c>
      <c r="F4" s="17" t="s">
        <v>736</v>
      </c>
      <c r="G4" s="17" t="s">
        <v>736</v>
      </c>
      <c r="H4" s="17" t="s">
        <v>13</v>
      </c>
      <c r="I4" s="17" t="s">
        <v>746</v>
      </c>
      <c r="J4" s="17" t="s">
        <v>812</v>
      </c>
      <c r="K4" s="17" t="s">
        <v>748</v>
      </c>
      <c r="L4" s="105"/>
      <c r="M4" s="75">
        <v>0.96650000000000003</v>
      </c>
      <c r="N4" s="21" t="s">
        <v>401</v>
      </c>
      <c r="O4" s="21" t="s">
        <v>528</v>
      </c>
      <c r="P4" s="37" t="s">
        <v>759</v>
      </c>
      <c r="Q4" s="37" t="s">
        <v>757</v>
      </c>
      <c r="R4" s="17" t="s">
        <v>799</v>
      </c>
      <c r="S4" s="105"/>
      <c r="T4" s="105"/>
      <c r="U4" s="32"/>
      <c r="V4" s="42" t="s">
        <v>127</v>
      </c>
      <c r="W4" s="42"/>
      <c r="X4" s="42" t="s">
        <v>127</v>
      </c>
      <c r="Y4" s="42"/>
    </row>
    <row r="5" spans="1:25" s="18" customFormat="1" ht="18" x14ac:dyDescent="0.2">
      <c r="A5" s="1">
        <v>4</v>
      </c>
      <c r="B5" s="1" t="s">
        <v>717</v>
      </c>
      <c r="C5" s="71" t="s">
        <v>778</v>
      </c>
      <c r="D5" s="1">
        <v>1</v>
      </c>
      <c r="E5" s="1" t="s">
        <v>736</v>
      </c>
      <c r="F5" s="1" t="s">
        <v>736</v>
      </c>
      <c r="G5" s="1" t="s">
        <v>736</v>
      </c>
      <c r="H5" s="1" t="s">
        <v>736</v>
      </c>
      <c r="I5" s="1">
        <v>6</v>
      </c>
      <c r="J5" s="1" t="s">
        <v>812</v>
      </c>
      <c r="K5" s="1" t="s">
        <v>748</v>
      </c>
      <c r="L5" s="95"/>
      <c r="M5" s="77">
        <v>0.96650000000000003</v>
      </c>
      <c r="N5" s="6" t="s">
        <v>401</v>
      </c>
      <c r="O5" s="6" t="s">
        <v>528</v>
      </c>
      <c r="P5" s="9" t="s">
        <v>760</v>
      </c>
      <c r="Q5" s="9" t="s">
        <v>757</v>
      </c>
      <c r="R5" s="1" t="s">
        <v>799</v>
      </c>
      <c r="S5" s="95"/>
      <c r="T5" s="95"/>
      <c r="U5" s="2"/>
      <c r="V5" s="56" t="s">
        <v>768</v>
      </c>
      <c r="W5" s="56"/>
      <c r="X5" s="56" t="s">
        <v>768</v>
      </c>
      <c r="Y5" s="56"/>
    </row>
    <row r="6" spans="1:25" s="18" customFormat="1" ht="18" x14ac:dyDescent="0.2">
      <c r="A6" s="17">
        <v>5</v>
      </c>
      <c r="B6" s="17" t="s">
        <v>718</v>
      </c>
      <c r="C6" s="70" t="s">
        <v>779</v>
      </c>
      <c r="D6" s="17">
        <v>1</v>
      </c>
      <c r="E6" s="17" t="s">
        <v>736</v>
      </c>
      <c r="F6" s="17" t="s">
        <v>736</v>
      </c>
      <c r="G6" s="17" t="s">
        <v>736</v>
      </c>
      <c r="H6" s="17" t="s">
        <v>13</v>
      </c>
      <c r="I6" s="17" t="s">
        <v>747</v>
      </c>
      <c r="J6" s="17" t="s">
        <v>812</v>
      </c>
      <c r="K6" s="17" t="s">
        <v>748</v>
      </c>
      <c r="L6" s="105"/>
      <c r="M6" s="75">
        <v>0.96650000000000003</v>
      </c>
      <c r="N6" s="21" t="s">
        <v>401</v>
      </c>
      <c r="O6" s="21" t="s">
        <v>528</v>
      </c>
      <c r="P6" s="37" t="s">
        <v>759</v>
      </c>
      <c r="Q6" s="37" t="s">
        <v>757</v>
      </c>
      <c r="R6" s="17" t="s">
        <v>799</v>
      </c>
      <c r="S6" s="105"/>
      <c r="T6" s="105"/>
      <c r="U6" s="32"/>
      <c r="V6" s="42" t="s">
        <v>127</v>
      </c>
      <c r="W6" s="42"/>
      <c r="X6" s="42" t="s">
        <v>127</v>
      </c>
      <c r="Y6" s="42"/>
    </row>
    <row r="7" spans="1:25" s="18" customFormat="1" ht="18" x14ac:dyDescent="0.2">
      <c r="A7" s="1">
        <v>6</v>
      </c>
      <c r="B7" s="1" t="s">
        <v>719</v>
      </c>
      <c r="C7" s="71" t="s">
        <v>780</v>
      </c>
      <c r="D7" s="1">
        <v>1</v>
      </c>
      <c r="E7" s="1" t="s">
        <v>736</v>
      </c>
      <c r="F7" s="1" t="s">
        <v>736</v>
      </c>
      <c r="G7" s="1" t="s">
        <v>736</v>
      </c>
      <c r="H7" s="1" t="s">
        <v>736</v>
      </c>
      <c r="I7" s="1">
        <v>8</v>
      </c>
      <c r="J7" s="1" t="s">
        <v>812</v>
      </c>
      <c r="K7" s="1" t="s">
        <v>748</v>
      </c>
      <c r="L7" s="95"/>
      <c r="M7" s="77">
        <v>0.96650000000000003</v>
      </c>
      <c r="N7" s="6" t="s">
        <v>401</v>
      </c>
      <c r="O7" s="6" t="s">
        <v>528</v>
      </c>
      <c r="P7" s="9" t="s">
        <v>760</v>
      </c>
      <c r="Q7" s="9" t="s">
        <v>757</v>
      </c>
      <c r="R7" s="1" t="s">
        <v>799</v>
      </c>
      <c r="S7" s="95"/>
      <c r="T7" s="95"/>
      <c r="U7" s="2"/>
      <c r="V7" s="56" t="s">
        <v>768</v>
      </c>
      <c r="W7" s="39"/>
      <c r="X7" s="56" t="s">
        <v>768</v>
      </c>
      <c r="Y7" s="56"/>
    </row>
    <row r="8" spans="1:25" s="18" customFormat="1" ht="18" x14ac:dyDescent="0.2">
      <c r="A8" s="17">
        <v>7</v>
      </c>
      <c r="B8" s="17" t="s">
        <v>720</v>
      </c>
      <c r="C8" s="70" t="s">
        <v>781</v>
      </c>
      <c r="D8" s="17">
        <v>1</v>
      </c>
      <c r="E8" s="17" t="s">
        <v>736</v>
      </c>
      <c r="F8" s="17" t="s">
        <v>736</v>
      </c>
      <c r="G8" s="17" t="s">
        <v>736</v>
      </c>
      <c r="H8" s="17" t="s">
        <v>13</v>
      </c>
      <c r="I8" s="17" t="s">
        <v>755</v>
      </c>
      <c r="J8" s="17" t="s">
        <v>812</v>
      </c>
      <c r="K8" s="17" t="s">
        <v>748</v>
      </c>
      <c r="L8" s="105"/>
      <c r="M8" s="75">
        <v>0.96650000000000003</v>
      </c>
      <c r="N8" s="21" t="s">
        <v>401</v>
      </c>
      <c r="O8" s="21" t="s">
        <v>528</v>
      </c>
      <c r="P8" s="37" t="s">
        <v>759</v>
      </c>
      <c r="Q8" s="37" t="s">
        <v>757</v>
      </c>
      <c r="R8" s="17" t="s">
        <v>799</v>
      </c>
      <c r="S8" s="105"/>
      <c r="T8" s="105"/>
      <c r="U8" s="32"/>
      <c r="V8" s="42" t="s">
        <v>127</v>
      </c>
      <c r="W8" s="42"/>
      <c r="X8" s="42" t="s">
        <v>127</v>
      </c>
      <c r="Y8" s="42"/>
    </row>
    <row r="9" spans="1:25" s="18" customFormat="1" ht="18" x14ac:dyDescent="0.2">
      <c r="A9" s="1">
        <v>8</v>
      </c>
      <c r="B9" s="1" t="s">
        <v>721</v>
      </c>
      <c r="C9" s="71" t="s">
        <v>782</v>
      </c>
      <c r="D9" s="1">
        <v>1</v>
      </c>
      <c r="E9" s="1" t="s">
        <v>736</v>
      </c>
      <c r="F9" s="1" t="s">
        <v>736</v>
      </c>
      <c r="G9" s="1" t="s">
        <v>736</v>
      </c>
      <c r="H9" s="1" t="s">
        <v>736</v>
      </c>
      <c r="I9" s="1" t="s">
        <v>755</v>
      </c>
      <c r="J9" s="1" t="s">
        <v>812</v>
      </c>
      <c r="K9" s="1" t="s">
        <v>748</v>
      </c>
      <c r="L9" s="95"/>
      <c r="M9" s="77">
        <v>0.96650000000000003</v>
      </c>
      <c r="N9" s="6" t="s">
        <v>401</v>
      </c>
      <c r="O9" s="6" t="s">
        <v>528</v>
      </c>
      <c r="P9" s="9" t="s">
        <v>760</v>
      </c>
      <c r="Q9" s="9" t="s">
        <v>757</v>
      </c>
      <c r="R9" s="1" t="s">
        <v>799</v>
      </c>
      <c r="S9" s="95"/>
      <c r="T9" s="95"/>
      <c r="U9" s="2"/>
      <c r="V9" s="56" t="s">
        <v>768</v>
      </c>
      <c r="W9" s="56"/>
      <c r="X9" s="56" t="s">
        <v>768</v>
      </c>
      <c r="Y9" s="56"/>
    </row>
    <row r="10" spans="1:25" s="18" customFormat="1" ht="18" x14ac:dyDescent="0.3">
      <c r="A10" s="17">
        <v>9</v>
      </c>
      <c r="B10" s="23" t="s">
        <v>722</v>
      </c>
      <c r="C10" s="70" t="s">
        <v>783</v>
      </c>
      <c r="D10" s="17">
        <v>1</v>
      </c>
      <c r="E10" s="17" t="s">
        <v>736</v>
      </c>
      <c r="F10" s="17" t="s">
        <v>736</v>
      </c>
      <c r="G10" s="17" t="s">
        <v>736</v>
      </c>
      <c r="H10" s="17" t="s">
        <v>13</v>
      </c>
      <c r="I10" s="17" t="s">
        <v>754</v>
      </c>
      <c r="J10" s="17" t="s">
        <v>812</v>
      </c>
      <c r="K10" s="17" t="s">
        <v>748</v>
      </c>
      <c r="L10" s="105"/>
      <c r="M10" s="75">
        <v>0.96650000000000003</v>
      </c>
      <c r="N10" s="21" t="s">
        <v>401</v>
      </c>
      <c r="O10" s="21" t="s">
        <v>528</v>
      </c>
      <c r="P10" s="37" t="s">
        <v>759</v>
      </c>
      <c r="Q10" s="37" t="s">
        <v>757</v>
      </c>
      <c r="R10" s="17" t="s">
        <v>799</v>
      </c>
      <c r="S10" s="105"/>
      <c r="T10" s="105"/>
      <c r="U10" s="32"/>
      <c r="V10" s="42" t="s">
        <v>127</v>
      </c>
      <c r="W10" s="42"/>
      <c r="X10" s="42" t="s">
        <v>127</v>
      </c>
      <c r="Y10" s="42"/>
    </row>
    <row r="11" spans="1:25" s="18" customFormat="1" ht="18" x14ac:dyDescent="0.3">
      <c r="A11" s="1">
        <v>10</v>
      </c>
      <c r="B11" s="10" t="s">
        <v>723</v>
      </c>
      <c r="C11" s="71" t="s">
        <v>784</v>
      </c>
      <c r="D11" s="1">
        <v>1</v>
      </c>
      <c r="E11" s="1" t="s">
        <v>736</v>
      </c>
      <c r="F11" s="1" t="s">
        <v>736</v>
      </c>
      <c r="G11" s="1" t="s">
        <v>736</v>
      </c>
      <c r="H11" s="1" t="s">
        <v>736</v>
      </c>
      <c r="I11" s="1" t="s">
        <v>755</v>
      </c>
      <c r="J11" s="1" t="s">
        <v>812</v>
      </c>
      <c r="K11" s="1" t="s">
        <v>748</v>
      </c>
      <c r="L11" s="95"/>
      <c r="M11" s="77">
        <v>0.96650000000000003</v>
      </c>
      <c r="N11" s="6" t="s">
        <v>401</v>
      </c>
      <c r="O11" s="6" t="s">
        <v>528</v>
      </c>
      <c r="P11" s="9" t="s">
        <v>760</v>
      </c>
      <c r="Q11" s="9" t="s">
        <v>757</v>
      </c>
      <c r="R11" s="1" t="s">
        <v>799</v>
      </c>
      <c r="S11" s="95"/>
      <c r="T11" s="95"/>
      <c r="U11" s="2"/>
      <c r="V11" s="56" t="s">
        <v>768</v>
      </c>
      <c r="W11" s="56"/>
      <c r="X11" s="56" t="s">
        <v>768</v>
      </c>
      <c r="Y11" s="56"/>
    </row>
    <row r="12" spans="1:25" s="18" customFormat="1" ht="18" x14ac:dyDescent="0.3">
      <c r="A12" s="17">
        <v>11</v>
      </c>
      <c r="B12" s="23" t="s">
        <v>724</v>
      </c>
      <c r="C12" s="70" t="s">
        <v>785</v>
      </c>
      <c r="D12" s="17" t="s">
        <v>750</v>
      </c>
      <c r="E12" s="17" t="s">
        <v>736</v>
      </c>
      <c r="F12" s="17" t="s">
        <v>736</v>
      </c>
      <c r="G12" s="17" t="s">
        <v>736</v>
      </c>
      <c r="H12" s="17" t="s">
        <v>13</v>
      </c>
      <c r="I12" s="17" t="s">
        <v>798</v>
      </c>
      <c r="J12" s="17" t="s">
        <v>736</v>
      </c>
      <c r="K12" s="17" t="s">
        <v>748</v>
      </c>
      <c r="L12" s="105"/>
      <c r="M12" s="75">
        <v>0.94820000000000004</v>
      </c>
      <c r="N12" s="21" t="s">
        <v>358</v>
      </c>
      <c r="O12" s="21" t="s">
        <v>359</v>
      </c>
      <c r="P12" s="37" t="s">
        <v>759</v>
      </c>
      <c r="Q12" s="37" t="s">
        <v>757</v>
      </c>
      <c r="R12" s="17" t="s">
        <v>799</v>
      </c>
      <c r="S12" s="105"/>
      <c r="T12" s="105"/>
      <c r="U12" s="117" t="s">
        <v>813</v>
      </c>
      <c r="V12" s="42" t="s">
        <v>127</v>
      </c>
      <c r="W12" s="42"/>
      <c r="X12" s="42" t="s">
        <v>127</v>
      </c>
      <c r="Y12" s="42"/>
    </row>
    <row r="13" spans="1:25" s="18" customFormat="1" ht="18" x14ac:dyDescent="0.3">
      <c r="A13" s="1">
        <v>12</v>
      </c>
      <c r="B13" s="10" t="s">
        <v>725</v>
      </c>
      <c r="C13" s="71" t="s">
        <v>786</v>
      </c>
      <c r="D13" s="1" t="s">
        <v>750</v>
      </c>
      <c r="E13" s="1" t="s">
        <v>736</v>
      </c>
      <c r="F13" s="1" t="s">
        <v>736</v>
      </c>
      <c r="G13" s="1" t="s">
        <v>736</v>
      </c>
      <c r="H13" s="1" t="s">
        <v>736</v>
      </c>
      <c r="I13" s="1" t="s">
        <v>798</v>
      </c>
      <c r="J13" s="1" t="s">
        <v>736</v>
      </c>
      <c r="K13" s="1" t="s">
        <v>748</v>
      </c>
      <c r="L13" s="95"/>
      <c r="M13" s="77">
        <v>0.94820000000000004</v>
      </c>
      <c r="N13" s="6" t="s">
        <v>358</v>
      </c>
      <c r="O13" s="6" t="s">
        <v>359</v>
      </c>
      <c r="P13" s="9" t="s">
        <v>760</v>
      </c>
      <c r="Q13" s="9" t="s">
        <v>757</v>
      </c>
      <c r="R13" s="1" t="s">
        <v>799</v>
      </c>
      <c r="S13" s="95"/>
      <c r="T13" s="95"/>
      <c r="U13" s="118"/>
      <c r="V13" s="56" t="s">
        <v>768</v>
      </c>
      <c r="W13" s="56"/>
      <c r="X13" s="56" t="s">
        <v>768</v>
      </c>
      <c r="Y13" s="56"/>
    </row>
    <row r="14" spans="1:25" s="18" customFormat="1" ht="18" x14ac:dyDescent="0.3">
      <c r="A14" s="17">
        <v>13</v>
      </c>
      <c r="B14" s="23" t="s">
        <v>726</v>
      </c>
      <c r="C14" s="70" t="s">
        <v>787</v>
      </c>
      <c r="D14" s="17" t="s">
        <v>750</v>
      </c>
      <c r="E14" s="17" t="s">
        <v>736</v>
      </c>
      <c r="F14" s="17" t="s">
        <v>736</v>
      </c>
      <c r="G14" s="17" t="s">
        <v>736</v>
      </c>
      <c r="H14" s="17" t="s">
        <v>13</v>
      </c>
      <c r="I14" s="17" t="s">
        <v>798</v>
      </c>
      <c r="J14" s="17" t="s">
        <v>736</v>
      </c>
      <c r="K14" s="17" t="s">
        <v>748</v>
      </c>
      <c r="L14" s="105"/>
      <c r="M14" s="75">
        <v>0.94820000000000004</v>
      </c>
      <c r="N14" s="21" t="s">
        <v>358</v>
      </c>
      <c r="O14" s="21" t="s">
        <v>359</v>
      </c>
      <c r="P14" s="37" t="s">
        <v>759</v>
      </c>
      <c r="Q14" s="37" t="s">
        <v>757</v>
      </c>
      <c r="R14" s="17" t="s">
        <v>799</v>
      </c>
      <c r="S14" s="105"/>
      <c r="T14" s="105"/>
      <c r="U14" s="119"/>
      <c r="V14" s="42" t="s">
        <v>127</v>
      </c>
      <c r="W14" s="42"/>
      <c r="X14" s="42" t="s">
        <v>127</v>
      </c>
      <c r="Y14" s="42"/>
    </row>
    <row r="15" spans="1:25" s="18" customFormat="1" ht="18" x14ac:dyDescent="0.3">
      <c r="A15" s="1">
        <v>14</v>
      </c>
      <c r="B15" s="10" t="s">
        <v>727</v>
      </c>
      <c r="C15" s="79" t="s">
        <v>788</v>
      </c>
      <c r="D15" s="1">
        <v>0.9</v>
      </c>
      <c r="E15" s="1">
        <v>4</v>
      </c>
      <c r="F15" s="1" t="s">
        <v>797</v>
      </c>
      <c r="G15" s="1" t="s">
        <v>810</v>
      </c>
      <c r="H15" s="1" t="s">
        <v>736</v>
      </c>
      <c r="I15" s="1" t="s">
        <v>764</v>
      </c>
      <c r="J15" s="1" t="s">
        <v>812</v>
      </c>
      <c r="K15" s="1" t="s">
        <v>748</v>
      </c>
      <c r="L15" s="95"/>
      <c r="M15" s="77">
        <v>0.96389999999999998</v>
      </c>
      <c r="N15" s="6" t="s">
        <v>800</v>
      </c>
      <c r="O15" s="6" t="s">
        <v>801</v>
      </c>
      <c r="P15" s="9" t="s">
        <v>769</v>
      </c>
      <c r="Q15" s="9" t="s">
        <v>767</v>
      </c>
      <c r="R15" s="1" t="s">
        <v>799</v>
      </c>
      <c r="S15" s="95"/>
      <c r="T15" s="95"/>
      <c r="U15" s="117" t="s">
        <v>821</v>
      </c>
      <c r="V15" s="56" t="s">
        <v>768</v>
      </c>
      <c r="W15" s="56"/>
      <c r="X15" s="56" t="s">
        <v>768</v>
      </c>
      <c r="Y15" s="56"/>
    </row>
    <row r="16" spans="1:25" s="18" customFormat="1" ht="18" x14ac:dyDescent="0.3">
      <c r="A16" s="17">
        <v>15</v>
      </c>
      <c r="B16" s="23" t="s">
        <v>728</v>
      </c>
      <c r="C16" s="73" t="s">
        <v>789</v>
      </c>
      <c r="D16" s="17">
        <v>0.9</v>
      </c>
      <c r="E16" s="17">
        <v>4</v>
      </c>
      <c r="F16" s="17" t="s">
        <v>797</v>
      </c>
      <c r="G16" s="17" t="s">
        <v>810</v>
      </c>
      <c r="H16" s="17" t="s">
        <v>13</v>
      </c>
      <c r="I16" s="17" t="s">
        <v>764</v>
      </c>
      <c r="J16" s="17" t="s">
        <v>812</v>
      </c>
      <c r="K16" s="17" t="s">
        <v>748</v>
      </c>
      <c r="L16" s="105"/>
      <c r="M16" s="75">
        <v>0.96389999999999998</v>
      </c>
      <c r="N16" s="21" t="s">
        <v>800</v>
      </c>
      <c r="O16" s="21" t="s">
        <v>801</v>
      </c>
      <c r="P16" s="37" t="s">
        <v>769</v>
      </c>
      <c r="Q16" s="37" t="s">
        <v>767</v>
      </c>
      <c r="R16" s="17" t="s">
        <v>799</v>
      </c>
      <c r="S16" s="105"/>
      <c r="T16" s="105"/>
      <c r="U16" s="118"/>
      <c r="V16" s="42" t="s">
        <v>127</v>
      </c>
      <c r="W16" s="42"/>
      <c r="X16" s="42" t="s">
        <v>127</v>
      </c>
      <c r="Y16" s="42"/>
    </row>
    <row r="17" spans="1:25" s="18" customFormat="1" ht="18" x14ac:dyDescent="0.3">
      <c r="A17" s="1">
        <v>16</v>
      </c>
      <c r="B17" s="10" t="s">
        <v>729</v>
      </c>
      <c r="C17" s="79" t="s">
        <v>790</v>
      </c>
      <c r="D17" s="1">
        <v>0.9</v>
      </c>
      <c r="E17" s="1">
        <v>4</v>
      </c>
      <c r="F17" s="1" t="s">
        <v>797</v>
      </c>
      <c r="G17" s="1" t="s">
        <v>810</v>
      </c>
      <c r="H17" s="1" t="s">
        <v>736</v>
      </c>
      <c r="I17" s="1" t="s">
        <v>765</v>
      </c>
      <c r="J17" s="1" t="s">
        <v>812</v>
      </c>
      <c r="K17" s="1" t="s">
        <v>748</v>
      </c>
      <c r="L17" s="95"/>
      <c r="M17" s="77">
        <v>0.96389999999999998</v>
      </c>
      <c r="N17" s="6" t="s">
        <v>574</v>
      </c>
      <c r="O17" s="6" t="s">
        <v>540</v>
      </c>
      <c r="P17" s="9" t="s">
        <v>769</v>
      </c>
      <c r="Q17" s="9" t="s">
        <v>766</v>
      </c>
      <c r="R17" s="1" t="s">
        <v>799</v>
      </c>
      <c r="S17" s="95"/>
      <c r="T17" s="95"/>
      <c r="U17" s="118"/>
      <c r="V17" s="56" t="s">
        <v>768</v>
      </c>
      <c r="W17" s="56"/>
      <c r="X17" s="56" t="s">
        <v>768</v>
      </c>
      <c r="Y17" s="56"/>
    </row>
    <row r="18" spans="1:25" s="18" customFormat="1" ht="18" x14ac:dyDescent="0.3">
      <c r="A18" s="17">
        <v>17</v>
      </c>
      <c r="B18" s="23" t="s">
        <v>730</v>
      </c>
      <c r="C18" s="73" t="s">
        <v>791</v>
      </c>
      <c r="D18" s="17">
        <v>0.9</v>
      </c>
      <c r="E18" s="17">
        <v>4</v>
      </c>
      <c r="F18" s="17" t="s">
        <v>797</v>
      </c>
      <c r="G18" s="17" t="s">
        <v>810</v>
      </c>
      <c r="H18" s="17" t="s">
        <v>13</v>
      </c>
      <c r="I18" s="17" t="s">
        <v>765</v>
      </c>
      <c r="J18" s="17" t="s">
        <v>812</v>
      </c>
      <c r="K18" s="17" t="s">
        <v>748</v>
      </c>
      <c r="L18" s="105"/>
      <c r="M18" s="75">
        <v>0.96389999999999998</v>
      </c>
      <c r="N18" s="21" t="s">
        <v>574</v>
      </c>
      <c r="O18" s="21" t="s">
        <v>540</v>
      </c>
      <c r="P18" s="37" t="s">
        <v>769</v>
      </c>
      <c r="Q18" s="37" t="s">
        <v>766</v>
      </c>
      <c r="R18" s="17" t="s">
        <v>799</v>
      </c>
      <c r="S18" s="105"/>
      <c r="T18" s="105"/>
      <c r="U18" s="118"/>
      <c r="V18" s="42" t="s">
        <v>127</v>
      </c>
      <c r="W18" s="42"/>
      <c r="X18" s="42" t="s">
        <v>127</v>
      </c>
      <c r="Y18" s="42"/>
    </row>
    <row r="19" spans="1:25" s="18" customFormat="1" ht="18" x14ac:dyDescent="0.3">
      <c r="A19" s="1">
        <v>18</v>
      </c>
      <c r="B19" s="10" t="s">
        <v>731</v>
      </c>
      <c r="C19" s="79" t="s">
        <v>792</v>
      </c>
      <c r="D19" s="1">
        <v>0.9</v>
      </c>
      <c r="E19" s="1">
        <v>4</v>
      </c>
      <c r="F19" s="1" t="s">
        <v>797</v>
      </c>
      <c r="G19" s="1" t="s">
        <v>810</v>
      </c>
      <c r="H19" s="1" t="s">
        <v>736</v>
      </c>
      <c r="I19" s="1" t="s">
        <v>765</v>
      </c>
      <c r="J19" s="1" t="s">
        <v>812</v>
      </c>
      <c r="K19" s="1" t="s">
        <v>748</v>
      </c>
      <c r="L19" s="95"/>
      <c r="M19" s="77">
        <v>0.96389999999999998</v>
      </c>
      <c r="N19" s="6" t="s">
        <v>574</v>
      </c>
      <c r="O19" s="6" t="s">
        <v>540</v>
      </c>
      <c r="P19" s="9" t="s">
        <v>769</v>
      </c>
      <c r="Q19" s="9" t="s">
        <v>766</v>
      </c>
      <c r="R19" s="1" t="s">
        <v>799</v>
      </c>
      <c r="S19" s="95"/>
      <c r="T19" s="95"/>
      <c r="U19" s="118"/>
      <c r="V19" s="56" t="s">
        <v>768</v>
      </c>
      <c r="W19" s="56"/>
      <c r="X19" s="56" t="s">
        <v>768</v>
      </c>
      <c r="Y19" s="56"/>
    </row>
    <row r="20" spans="1:25" s="18" customFormat="1" ht="18" x14ac:dyDescent="0.3">
      <c r="A20" s="17">
        <v>19</v>
      </c>
      <c r="B20" s="23" t="s">
        <v>732</v>
      </c>
      <c r="C20" s="73" t="s">
        <v>793</v>
      </c>
      <c r="D20" s="17">
        <v>0.9</v>
      </c>
      <c r="E20" s="17">
        <v>4</v>
      </c>
      <c r="F20" s="17" t="s">
        <v>797</v>
      </c>
      <c r="G20" s="17" t="s">
        <v>811</v>
      </c>
      <c r="H20" s="17" t="s">
        <v>815</v>
      </c>
      <c r="I20" s="17" t="s">
        <v>765</v>
      </c>
      <c r="J20" s="17" t="s">
        <v>812</v>
      </c>
      <c r="K20" s="17" t="s">
        <v>748</v>
      </c>
      <c r="L20" s="105"/>
      <c r="M20" s="75">
        <v>0.96389999999999998</v>
      </c>
      <c r="N20" s="21" t="s">
        <v>574</v>
      </c>
      <c r="O20" s="21" t="s">
        <v>540</v>
      </c>
      <c r="P20" s="37" t="s">
        <v>769</v>
      </c>
      <c r="Q20" s="37" t="s">
        <v>766</v>
      </c>
      <c r="R20" s="17" t="s">
        <v>799</v>
      </c>
      <c r="S20" s="105"/>
      <c r="T20" s="105"/>
      <c r="U20" s="118"/>
      <c r="V20" s="42" t="s">
        <v>127</v>
      </c>
      <c r="W20" s="42"/>
      <c r="X20" s="42" t="s">
        <v>127</v>
      </c>
      <c r="Y20" s="42"/>
    </row>
    <row r="21" spans="1:25" s="18" customFormat="1" ht="18" x14ac:dyDescent="0.3">
      <c r="A21" s="1">
        <v>20</v>
      </c>
      <c r="B21" s="10" t="s">
        <v>733</v>
      </c>
      <c r="C21" s="79" t="s">
        <v>794</v>
      </c>
      <c r="D21" s="1">
        <v>0.9</v>
      </c>
      <c r="E21" s="1">
        <v>4</v>
      </c>
      <c r="F21" s="1" t="s">
        <v>797</v>
      </c>
      <c r="G21" s="1" t="s">
        <v>811</v>
      </c>
      <c r="H21" s="1" t="s">
        <v>815</v>
      </c>
      <c r="I21" s="1" t="s">
        <v>765</v>
      </c>
      <c r="J21" s="1" t="s">
        <v>812</v>
      </c>
      <c r="K21" s="1" t="s">
        <v>748</v>
      </c>
      <c r="L21" s="95"/>
      <c r="M21" s="77">
        <v>0.96389999999999998</v>
      </c>
      <c r="N21" s="6" t="s">
        <v>574</v>
      </c>
      <c r="O21" s="6" t="s">
        <v>540</v>
      </c>
      <c r="P21" s="9" t="s">
        <v>769</v>
      </c>
      <c r="Q21" s="9" t="s">
        <v>766</v>
      </c>
      <c r="R21" s="1" t="s">
        <v>799</v>
      </c>
      <c r="S21" s="95"/>
      <c r="T21" s="95"/>
      <c r="U21" s="118"/>
      <c r="V21" s="56" t="s">
        <v>768</v>
      </c>
      <c r="W21" s="56"/>
      <c r="X21" s="56" t="s">
        <v>768</v>
      </c>
      <c r="Y21" s="56"/>
    </row>
    <row r="22" spans="1:25" s="18" customFormat="1" ht="18" x14ac:dyDescent="0.3">
      <c r="A22" s="17">
        <v>21</v>
      </c>
      <c r="B22" s="23" t="s">
        <v>734</v>
      </c>
      <c r="C22" s="73" t="s">
        <v>795</v>
      </c>
      <c r="D22" s="17">
        <v>0.9</v>
      </c>
      <c r="E22" s="17">
        <v>4</v>
      </c>
      <c r="F22" s="17" t="s">
        <v>797</v>
      </c>
      <c r="G22" s="17" t="s">
        <v>810</v>
      </c>
      <c r="H22" s="17" t="s">
        <v>814</v>
      </c>
      <c r="I22" s="17" t="s">
        <v>765</v>
      </c>
      <c r="J22" s="17" t="s">
        <v>812</v>
      </c>
      <c r="K22" s="17" t="s">
        <v>748</v>
      </c>
      <c r="L22" s="105"/>
      <c r="M22" s="75">
        <v>0.96389999999999998</v>
      </c>
      <c r="N22" s="21" t="s">
        <v>574</v>
      </c>
      <c r="O22" s="21" t="s">
        <v>540</v>
      </c>
      <c r="P22" s="37" t="s">
        <v>769</v>
      </c>
      <c r="Q22" s="37" t="s">
        <v>766</v>
      </c>
      <c r="R22" s="17" t="s">
        <v>799</v>
      </c>
      <c r="S22" s="105"/>
      <c r="T22" s="105"/>
      <c r="U22" s="118"/>
      <c r="V22" s="42" t="s">
        <v>127</v>
      </c>
      <c r="W22" s="42"/>
      <c r="X22" s="42" t="s">
        <v>127</v>
      </c>
      <c r="Y22" s="42"/>
    </row>
    <row r="23" spans="1:25" s="18" customFormat="1" ht="18" x14ac:dyDescent="0.3">
      <c r="A23" s="1">
        <v>22</v>
      </c>
      <c r="B23" s="10" t="s">
        <v>735</v>
      </c>
      <c r="C23" s="79" t="s">
        <v>796</v>
      </c>
      <c r="D23" s="1">
        <v>0.9</v>
      </c>
      <c r="E23" s="1">
        <v>4</v>
      </c>
      <c r="F23" s="1" t="s">
        <v>797</v>
      </c>
      <c r="G23" s="1" t="s">
        <v>810</v>
      </c>
      <c r="H23" s="1" t="s">
        <v>814</v>
      </c>
      <c r="I23" s="1" t="s">
        <v>765</v>
      </c>
      <c r="J23" s="1" t="s">
        <v>812</v>
      </c>
      <c r="K23" s="1" t="s">
        <v>748</v>
      </c>
      <c r="L23" s="95"/>
      <c r="M23" s="77">
        <v>0.96389999999999998</v>
      </c>
      <c r="N23" s="6" t="s">
        <v>574</v>
      </c>
      <c r="O23" s="6" t="s">
        <v>540</v>
      </c>
      <c r="P23" s="9" t="s">
        <v>769</v>
      </c>
      <c r="Q23" s="9" t="s">
        <v>766</v>
      </c>
      <c r="R23" s="1" t="s">
        <v>799</v>
      </c>
      <c r="S23" s="95"/>
      <c r="T23" s="95"/>
      <c r="U23" s="119"/>
      <c r="V23" s="56" t="s">
        <v>768</v>
      </c>
      <c r="W23" s="56"/>
      <c r="X23" s="56" t="s">
        <v>768</v>
      </c>
      <c r="Y23" s="56"/>
    </row>
    <row r="24" spans="1:25" s="18" customFormat="1" ht="18" x14ac:dyDescent="0.3">
      <c r="A24" s="17">
        <v>23</v>
      </c>
      <c r="B24" s="23" t="s">
        <v>825</v>
      </c>
      <c r="C24" s="73" t="s">
        <v>828</v>
      </c>
      <c r="D24" s="17">
        <v>0.9</v>
      </c>
      <c r="E24" s="17">
        <v>4</v>
      </c>
      <c r="F24" s="17" t="s">
        <v>797</v>
      </c>
      <c r="G24" s="17" t="s">
        <v>810</v>
      </c>
      <c r="H24" s="17" t="s">
        <v>814</v>
      </c>
      <c r="I24" s="17" t="s">
        <v>765</v>
      </c>
      <c r="J24" s="17" t="s">
        <v>812</v>
      </c>
      <c r="K24" s="17" t="s">
        <v>748</v>
      </c>
      <c r="L24" s="105"/>
      <c r="M24" s="75">
        <v>0.96389999999999998</v>
      </c>
      <c r="N24" s="21" t="s">
        <v>574</v>
      </c>
      <c r="O24" s="21" t="s">
        <v>540</v>
      </c>
      <c r="P24" s="37" t="s">
        <v>769</v>
      </c>
      <c r="Q24" s="37" t="s">
        <v>766</v>
      </c>
      <c r="R24" s="17" t="s">
        <v>799</v>
      </c>
      <c r="S24" s="105"/>
      <c r="T24" s="105"/>
      <c r="U24" s="94"/>
      <c r="V24" s="42" t="s">
        <v>127</v>
      </c>
      <c r="W24" s="42"/>
      <c r="X24" s="42"/>
      <c r="Y24" s="42"/>
    </row>
    <row r="25" spans="1:25" s="18" customFormat="1" ht="18" x14ac:dyDescent="0.3">
      <c r="A25" s="1">
        <v>24</v>
      </c>
      <c r="B25" s="10" t="s">
        <v>826</v>
      </c>
      <c r="C25" s="79" t="s">
        <v>829</v>
      </c>
      <c r="D25" s="1">
        <v>0.9</v>
      </c>
      <c r="E25" s="1">
        <v>4</v>
      </c>
      <c r="F25" s="1" t="s">
        <v>797</v>
      </c>
      <c r="G25" s="1" t="s">
        <v>810</v>
      </c>
      <c r="H25" s="1" t="s">
        <v>814</v>
      </c>
      <c r="I25" s="1" t="s">
        <v>765</v>
      </c>
      <c r="J25" s="1" t="s">
        <v>812</v>
      </c>
      <c r="K25" s="1" t="s">
        <v>748</v>
      </c>
      <c r="L25" s="95"/>
      <c r="M25" s="77">
        <v>0.96389999999999998</v>
      </c>
      <c r="N25" s="6" t="s">
        <v>574</v>
      </c>
      <c r="O25" s="6" t="s">
        <v>540</v>
      </c>
      <c r="P25" s="9" t="s">
        <v>769</v>
      </c>
      <c r="Q25" s="9" t="s">
        <v>766</v>
      </c>
      <c r="R25" s="1" t="s">
        <v>799</v>
      </c>
      <c r="S25" s="95"/>
      <c r="T25" s="95"/>
      <c r="U25" s="93"/>
      <c r="V25" s="56" t="s">
        <v>768</v>
      </c>
      <c r="W25" s="56"/>
      <c r="X25" s="56"/>
      <c r="Y25" s="56"/>
    </row>
    <row r="26" spans="1:25" s="18" customFormat="1" ht="18" x14ac:dyDescent="0.3">
      <c r="A26" s="17">
        <v>25</v>
      </c>
      <c r="B26" s="23" t="s">
        <v>827</v>
      </c>
      <c r="C26" s="73" t="s">
        <v>830</v>
      </c>
      <c r="D26" s="17">
        <v>0.9</v>
      </c>
      <c r="E26" s="17">
        <v>4</v>
      </c>
      <c r="F26" s="17" t="s">
        <v>797</v>
      </c>
      <c r="G26" s="17" t="s">
        <v>810</v>
      </c>
      <c r="H26" s="17" t="s">
        <v>814</v>
      </c>
      <c r="I26" s="17" t="s">
        <v>765</v>
      </c>
      <c r="J26" s="17" t="s">
        <v>812</v>
      </c>
      <c r="K26" s="17" t="s">
        <v>748</v>
      </c>
      <c r="L26" s="105"/>
      <c r="M26" s="75">
        <v>0.96389999999999998</v>
      </c>
      <c r="N26" s="21" t="s">
        <v>574</v>
      </c>
      <c r="O26" s="21" t="s">
        <v>540</v>
      </c>
      <c r="P26" s="37" t="s">
        <v>769</v>
      </c>
      <c r="Q26" s="37" t="s">
        <v>766</v>
      </c>
      <c r="R26" s="17" t="s">
        <v>799</v>
      </c>
      <c r="S26" s="105"/>
      <c r="T26" s="105"/>
      <c r="U26" s="94"/>
      <c r="V26" s="42" t="s">
        <v>127</v>
      </c>
      <c r="W26" s="42"/>
      <c r="X26" s="42"/>
      <c r="Y26" s="42"/>
    </row>
    <row r="27" spans="1:25" ht="18" x14ac:dyDescent="0.3">
      <c r="A27" s="1">
        <v>26</v>
      </c>
      <c r="B27" s="1" t="s">
        <v>12</v>
      </c>
      <c r="C27" s="101" t="s">
        <v>511</v>
      </c>
      <c r="D27" s="1">
        <v>0.9</v>
      </c>
      <c r="E27" s="1">
        <v>4</v>
      </c>
      <c r="F27" s="1" t="s">
        <v>218</v>
      </c>
      <c r="G27" s="1" t="s">
        <v>219</v>
      </c>
      <c r="H27" s="1" t="s">
        <v>72</v>
      </c>
      <c r="I27" s="102" t="s">
        <v>14</v>
      </c>
      <c r="J27" s="1" t="s">
        <v>57</v>
      </c>
      <c r="K27" s="1" t="s">
        <v>35</v>
      </c>
      <c r="L27" s="95"/>
      <c r="M27" s="77">
        <v>0.96389999999999998</v>
      </c>
      <c r="N27" s="6" t="s">
        <v>575</v>
      </c>
      <c r="O27" s="6" t="s">
        <v>541</v>
      </c>
      <c r="P27" s="6" t="s">
        <v>221</v>
      </c>
      <c r="Q27" s="1" t="s">
        <v>70</v>
      </c>
      <c r="R27" s="1" t="s">
        <v>60</v>
      </c>
      <c r="S27" s="1" t="s">
        <v>51</v>
      </c>
      <c r="T27" s="1" t="s">
        <v>58</v>
      </c>
      <c r="U27" s="103"/>
      <c r="V27" s="56" t="s">
        <v>125</v>
      </c>
      <c r="W27" s="56"/>
      <c r="X27" s="56" t="s">
        <v>125</v>
      </c>
      <c r="Y27" s="56"/>
    </row>
    <row r="28" spans="1:25" ht="16.5" x14ac:dyDescent="0.2">
      <c r="A28" s="17">
        <v>27</v>
      </c>
      <c r="B28" s="17" t="s">
        <v>17</v>
      </c>
      <c r="C28" s="35" t="s">
        <v>562</v>
      </c>
      <c r="D28" s="17">
        <v>0.9</v>
      </c>
      <c r="E28" s="17">
        <v>4</v>
      </c>
      <c r="F28" s="17" t="s">
        <v>218</v>
      </c>
      <c r="G28" s="17" t="s">
        <v>219</v>
      </c>
      <c r="H28" s="17" t="s">
        <v>72</v>
      </c>
      <c r="I28" s="19" t="s">
        <v>652</v>
      </c>
      <c r="J28" s="22" t="s">
        <v>57</v>
      </c>
      <c r="K28" s="17" t="s">
        <v>35</v>
      </c>
      <c r="L28" s="17" t="s">
        <v>15</v>
      </c>
      <c r="M28" s="75">
        <v>0.96389999999999998</v>
      </c>
      <c r="N28" s="21" t="s">
        <v>574</v>
      </c>
      <c r="O28" s="21" t="s">
        <v>540</v>
      </c>
      <c r="P28" s="21" t="s">
        <v>221</v>
      </c>
      <c r="Q28" s="17" t="s">
        <v>70</v>
      </c>
      <c r="R28" s="17" t="s">
        <v>60</v>
      </c>
      <c r="S28" s="17" t="s">
        <v>51</v>
      </c>
      <c r="T28" s="17" t="s">
        <v>16</v>
      </c>
      <c r="U28" s="32"/>
      <c r="V28" s="42" t="s">
        <v>125</v>
      </c>
      <c r="W28" s="42" t="s">
        <v>125</v>
      </c>
      <c r="X28" s="42" t="s">
        <v>125</v>
      </c>
      <c r="Y28" s="42"/>
    </row>
    <row r="29" spans="1:25" ht="16.5" x14ac:dyDescent="0.2">
      <c r="A29" s="1">
        <v>28</v>
      </c>
      <c r="B29" s="1" t="s">
        <v>335</v>
      </c>
      <c r="C29" s="104" t="s">
        <v>561</v>
      </c>
      <c r="D29" s="1">
        <v>0.9</v>
      </c>
      <c r="E29" s="1">
        <v>4</v>
      </c>
      <c r="F29" s="1" t="s">
        <v>218</v>
      </c>
      <c r="G29" s="1" t="s">
        <v>220</v>
      </c>
      <c r="H29" s="1" t="s">
        <v>72</v>
      </c>
      <c r="I29" s="1" t="s">
        <v>74</v>
      </c>
      <c r="J29" s="41" t="s">
        <v>57</v>
      </c>
      <c r="K29" s="1" t="s">
        <v>35</v>
      </c>
      <c r="L29" s="1" t="s">
        <v>694</v>
      </c>
      <c r="M29" s="77">
        <v>0.96389999999999998</v>
      </c>
      <c r="N29" s="6" t="s">
        <v>574</v>
      </c>
      <c r="O29" s="6" t="s">
        <v>540</v>
      </c>
      <c r="P29" s="6" t="s">
        <v>221</v>
      </c>
      <c r="Q29" s="1" t="s">
        <v>70</v>
      </c>
      <c r="R29" s="1" t="s">
        <v>60</v>
      </c>
      <c r="S29" s="1" t="s">
        <v>51</v>
      </c>
      <c r="T29" s="1" t="s">
        <v>16</v>
      </c>
      <c r="U29" s="117" t="s">
        <v>75</v>
      </c>
      <c r="V29" s="56" t="s">
        <v>125</v>
      </c>
      <c r="W29" s="56" t="s">
        <v>125</v>
      </c>
      <c r="X29" s="56" t="s">
        <v>125</v>
      </c>
      <c r="Y29" s="56"/>
    </row>
    <row r="30" spans="1:25" ht="16.5" x14ac:dyDescent="0.2">
      <c r="A30" s="17">
        <v>29</v>
      </c>
      <c r="B30" s="17" t="s">
        <v>336</v>
      </c>
      <c r="C30" s="35" t="s">
        <v>563</v>
      </c>
      <c r="D30" s="17">
        <v>0.9</v>
      </c>
      <c r="E30" s="17">
        <v>4</v>
      </c>
      <c r="F30" s="17" t="s">
        <v>218</v>
      </c>
      <c r="G30" s="17" t="s">
        <v>220</v>
      </c>
      <c r="H30" s="17" t="s">
        <v>73</v>
      </c>
      <c r="I30" s="17" t="s">
        <v>74</v>
      </c>
      <c r="J30" s="22" t="s">
        <v>57</v>
      </c>
      <c r="K30" s="17" t="s">
        <v>35</v>
      </c>
      <c r="L30" s="17" t="s">
        <v>694</v>
      </c>
      <c r="M30" s="75">
        <v>0.96389999999999998</v>
      </c>
      <c r="N30" s="21" t="s">
        <v>574</v>
      </c>
      <c r="O30" s="21" t="s">
        <v>540</v>
      </c>
      <c r="P30" s="21" t="s">
        <v>221</v>
      </c>
      <c r="Q30" s="17" t="s">
        <v>70</v>
      </c>
      <c r="R30" s="17" t="s">
        <v>60</v>
      </c>
      <c r="S30" s="17" t="s">
        <v>51</v>
      </c>
      <c r="T30" s="17" t="s">
        <v>16</v>
      </c>
      <c r="U30" s="118"/>
      <c r="V30" s="42" t="s">
        <v>125</v>
      </c>
      <c r="W30" s="42" t="s">
        <v>125</v>
      </c>
      <c r="X30" s="42" t="s">
        <v>125</v>
      </c>
      <c r="Y30" s="42"/>
    </row>
    <row r="31" spans="1:25" ht="16.5" x14ac:dyDescent="0.2">
      <c r="A31" s="1">
        <v>30</v>
      </c>
      <c r="B31" s="1" t="s">
        <v>21</v>
      </c>
      <c r="C31" s="101" t="s">
        <v>564</v>
      </c>
      <c r="D31" s="1">
        <v>0.9</v>
      </c>
      <c r="E31" s="1">
        <v>4</v>
      </c>
      <c r="F31" s="1" t="s">
        <v>218</v>
      </c>
      <c r="G31" s="1" t="s">
        <v>54</v>
      </c>
      <c r="H31" s="1" t="s">
        <v>73</v>
      </c>
      <c r="I31" s="1" t="s">
        <v>74</v>
      </c>
      <c r="J31" s="41" t="s">
        <v>57</v>
      </c>
      <c r="K31" s="1" t="s">
        <v>35</v>
      </c>
      <c r="L31" s="1" t="s">
        <v>694</v>
      </c>
      <c r="M31" s="77">
        <v>0.96389999999999998</v>
      </c>
      <c r="N31" s="6" t="s">
        <v>574</v>
      </c>
      <c r="O31" s="6" t="s">
        <v>541</v>
      </c>
      <c r="P31" s="6" t="s">
        <v>221</v>
      </c>
      <c r="Q31" s="1" t="s">
        <v>70</v>
      </c>
      <c r="R31" s="1" t="s">
        <v>60</v>
      </c>
      <c r="S31" s="1" t="s">
        <v>51</v>
      </c>
      <c r="T31" s="1" t="s">
        <v>16</v>
      </c>
      <c r="U31" s="118"/>
      <c r="V31" s="56" t="s">
        <v>125</v>
      </c>
      <c r="W31" s="56" t="s">
        <v>125</v>
      </c>
      <c r="X31" s="56" t="s">
        <v>125</v>
      </c>
      <c r="Y31" s="56"/>
    </row>
    <row r="32" spans="1:25" ht="16.5" x14ac:dyDescent="0.2">
      <c r="A32" s="17">
        <v>31</v>
      </c>
      <c r="B32" s="17" t="s">
        <v>509</v>
      </c>
      <c r="C32" s="35" t="s">
        <v>516</v>
      </c>
      <c r="D32" s="17">
        <v>0.9</v>
      </c>
      <c r="E32" s="17">
        <v>4</v>
      </c>
      <c r="F32" s="17" t="s">
        <v>218</v>
      </c>
      <c r="G32" s="17" t="s">
        <v>54</v>
      </c>
      <c r="H32" s="17" t="s">
        <v>73</v>
      </c>
      <c r="I32" s="17" t="s">
        <v>74</v>
      </c>
      <c r="J32" s="22" t="s">
        <v>57</v>
      </c>
      <c r="K32" s="17" t="s">
        <v>35</v>
      </c>
      <c r="L32" s="17" t="s">
        <v>694</v>
      </c>
      <c r="M32" s="75">
        <v>0.96389999999999998</v>
      </c>
      <c r="N32" s="21" t="s">
        <v>574</v>
      </c>
      <c r="O32" s="21" t="s">
        <v>540</v>
      </c>
      <c r="P32" s="21" t="s">
        <v>221</v>
      </c>
      <c r="Q32" s="17" t="s">
        <v>70</v>
      </c>
      <c r="R32" s="17" t="s">
        <v>60</v>
      </c>
      <c r="S32" s="17" t="s">
        <v>51</v>
      </c>
      <c r="T32" s="17" t="s">
        <v>16</v>
      </c>
      <c r="U32" s="118"/>
      <c r="V32" s="42" t="s">
        <v>125</v>
      </c>
      <c r="W32" s="42" t="s">
        <v>125</v>
      </c>
      <c r="X32" s="42" t="s">
        <v>125</v>
      </c>
      <c r="Y32" s="42"/>
    </row>
    <row r="33" spans="1:25" ht="16.5" x14ac:dyDescent="0.2">
      <c r="A33" s="1">
        <v>32</v>
      </c>
      <c r="B33" s="1" t="s">
        <v>22</v>
      </c>
      <c r="C33" s="101" t="s">
        <v>565</v>
      </c>
      <c r="D33" s="1">
        <v>0.9</v>
      </c>
      <c r="E33" s="1">
        <v>4</v>
      </c>
      <c r="F33" s="1" t="s">
        <v>218</v>
      </c>
      <c r="G33" s="1" t="s">
        <v>54</v>
      </c>
      <c r="H33" s="1" t="s">
        <v>73</v>
      </c>
      <c r="I33" s="1" t="s">
        <v>74</v>
      </c>
      <c r="J33" s="41" t="s">
        <v>57</v>
      </c>
      <c r="K33" s="1" t="s">
        <v>35</v>
      </c>
      <c r="L33" s="1" t="s">
        <v>694</v>
      </c>
      <c r="M33" s="77">
        <v>0.96389999999999998</v>
      </c>
      <c r="N33" s="6" t="s">
        <v>575</v>
      </c>
      <c r="O33" s="6" t="s">
        <v>540</v>
      </c>
      <c r="P33" s="6" t="s">
        <v>221</v>
      </c>
      <c r="Q33" s="1" t="s">
        <v>70</v>
      </c>
      <c r="R33" s="1" t="s">
        <v>60</v>
      </c>
      <c r="S33" s="1" t="s">
        <v>51</v>
      </c>
      <c r="T33" s="1" t="s">
        <v>16</v>
      </c>
      <c r="U33" s="118"/>
      <c r="V33" s="56" t="s">
        <v>125</v>
      </c>
      <c r="W33" s="56" t="s">
        <v>125</v>
      </c>
      <c r="X33" s="56" t="s">
        <v>125</v>
      </c>
      <c r="Y33" s="56"/>
    </row>
    <row r="34" spans="1:25" ht="16.5" x14ac:dyDescent="0.2">
      <c r="A34" s="17">
        <v>33</v>
      </c>
      <c r="B34" s="17" t="s">
        <v>23</v>
      </c>
      <c r="C34" s="35" t="s">
        <v>566</v>
      </c>
      <c r="D34" s="17">
        <v>0.9</v>
      </c>
      <c r="E34" s="17">
        <v>4</v>
      </c>
      <c r="F34" s="17" t="s">
        <v>218</v>
      </c>
      <c r="G34" s="17" t="s">
        <v>54</v>
      </c>
      <c r="H34" s="17" t="s">
        <v>73</v>
      </c>
      <c r="I34" s="17" t="s">
        <v>74</v>
      </c>
      <c r="J34" s="22" t="s">
        <v>57</v>
      </c>
      <c r="K34" s="17" t="s">
        <v>35</v>
      </c>
      <c r="L34" s="17" t="s">
        <v>694</v>
      </c>
      <c r="M34" s="75">
        <v>0.96389999999999998</v>
      </c>
      <c r="N34" s="21" t="s">
        <v>574</v>
      </c>
      <c r="O34" s="21" t="s">
        <v>540</v>
      </c>
      <c r="P34" s="21" t="s">
        <v>221</v>
      </c>
      <c r="Q34" s="17" t="s">
        <v>70</v>
      </c>
      <c r="R34" s="17" t="s">
        <v>60</v>
      </c>
      <c r="S34" s="17" t="s">
        <v>51</v>
      </c>
      <c r="T34" s="17" t="s">
        <v>16</v>
      </c>
      <c r="U34" s="118"/>
      <c r="V34" s="42" t="s">
        <v>125</v>
      </c>
      <c r="W34" s="42" t="s">
        <v>125</v>
      </c>
      <c r="X34" s="42" t="s">
        <v>125</v>
      </c>
      <c r="Y34" s="42"/>
    </row>
    <row r="35" spans="1:25" ht="16.5" x14ac:dyDescent="0.2">
      <c r="A35" s="1">
        <v>34</v>
      </c>
      <c r="B35" s="1" t="s">
        <v>503</v>
      </c>
      <c r="C35" s="101" t="s">
        <v>567</v>
      </c>
      <c r="D35" s="1">
        <v>1</v>
      </c>
      <c r="E35" s="1">
        <v>4</v>
      </c>
      <c r="F35" s="1" t="s">
        <v>218</v>
      </c>
      <c r="G35" s="1" t="s">
        <v>54</v>
      </c>
      <c r="H35" s="1" t="s">
        <v>73</v>
      </c>
      <c r="I35" s="1" t="s">
        <v>74</v>
      </c>
      <c r="J35" s="41" t="s">
        <v>57</v>
      </c>
      <c r="K35" s="1" t="s">
        <v>35</v>
      </c>
      <c r="L35" s="1" t="s">
        <v>694</v>
      </c>
      <c r="M35" s="77">
        <v>0.96709999999999996</v>
      </c>
      <c r="N35" s="6" t="s">
        <v>809</v>
      </c>
      <c r="O35" s="6" t="s">
        <v>554</v>
      </c>
      <c r="P35" s="6" t="s">
        <v>221</v>
      </c>
      <c r="Q35" s="1" t="s">
        <v>71</v>
      </c>
      <c r="R35" s="1" t="s">
        <v>60</v>
      </c>
      <c r="S35" s="1" t="s">
        <v>134</v>
      </c>
      <c r="T35" s="1" t="s">
        <v>24</v>
      </c>
      <c r="U35" s="118"/>
      <c r="V35" s="56" t="s">
        <v>125</v>
      </c>
      <c r="W35" s="56" t="s">
        <v>125</v>
      </c>
      <c r="X35" s="56" t="s">
        <v>125</v>
      </c>
      <c r="Y35" s="56"/>
    </row>
    <row r="36" spans="1:25" ht="16.5" x14ac:dyDescent="0.2">
      <c r="A36" s="17">
        <v>35</v>
      </c>
      <c r="B36" s="17" t="s">
        <v>504</v>
      </c>
      <c r="C36" s="35" t="s">
        <v>569</v>
      </c>
      <c r="D36" s="17">
        <v>1</v>
      </c>
      <c r="E36" s="17">
        <v>4</v>
      </c>
      <c r="F36" s="17" t="s">
        <v>218</v>
      </c>
      <c r="G36" s="17" t="s">
        <v>54</v>
      </c>
      <c r="H36" s="17" t="s">
        <v>73</v>
      </c>
      <c r="I36" s="17" t="s">
        <v>74</v>
      </c>
      <c r="J36" s="22" t="s">
        <v>57</v>
      </c>
      <c r="K36" s="17" t="s">
        <v>35</v>
      </c>
      <c r="L36" s="17" t="s">
        <v>694</v>
      </c>
      <c r="M36" s="75">
        <v>0.96709999999999996</v>
      </c>
      <c r="N36" s="21" t="s">
        <v>809</v>
      </c>
      <c r="O36" s="21" t="s">
        <v>554</v>
      </c>
      <c r="P36" s="21" t="s">
        <v>221</v>
      </c>
      <c r="Q36" s="17" t="s">
        <v>71</v>
      </c>
      <c r="R36" s="17" t="s">
        <v>60</v>
      </c>
      <c r="S36" s="17" t="s">
        <v>135</v>
      </c>
      <c r="T36" s="17" t="s">
        <v>24</v>
      </c>
      <c r="U36" s="118"/>
      <c r="V36" s="42" t="s">
        <v>125</v>
      </c>
      <c r="W36" s="42" t="s">
        <v>125</v>
      </c>
      <c r="X36" s="42" t="s">
        <v>125</v>
      </c>
      <c r="Y36" s="42"/>
    </row>
    <row r="37" spans="1:25" ht="16.5" x14ac:dyDescent="0.2">
      <c r="A37" s="1">
        <v>36</v>
      </c>
      <c r="B37" s="1" t="s">
        <v>505</v>
      </c>
      <c r="C37" s="101" t="s">
        <v>568</v>
      </c>
      <c r="D37" s="1">
        <v>1</v>
      </c>
      <c r="E37" s="1">
        <v>4</v>
      </c>
      <c r="F37" s="1" t="s">
        <v>218</v>
      </c>
      <c r="G37" s="1" t="s">
        <v>54</v>
      </c>
      <c r="H37" s="1" t="s">
        <v>73</v>
      </c>
      <c r="I37" s="1" t="s">
        <v>74</v>
      </c>
      <c r="J37" s="41" t="s">
        <v>57</v>
      </c>
      <c r="K37" s="1" t="s">
        <v>35</v>
      </c>
      <c r="L37" s="1" t="s">
        <v>694</v>
      </c>
      <c r="M37" s="77">
        <v>0.96709999999999996</v>
      </c>
      <c r="N37" s="6" t="s">
        <v>808</v>
      </c>
      <c r="O37" s="6" t="s">
        <v>553</v>
      </c>
      <c r="P37" s="6" t="s">
        <v>221</v>
      </c>
      <c r="Q37" s="1" t="s">
        <v>71</v>
      </c>
      <c r="R37" s="1" t="s">
        <v>60</v>
      </c>
      <c r="S37" s="1" t="s">
        <v>52</v>
      </c>
      <c r="T37" s="1" t="s">
        <v>24</v>
      </c>
      <c r="U37" s="118"/>
      <c r="V37" s="56" t="s">
        <v>125</v>
      </c>
      <c r="W37" s="56" t="s">
        <v>125</v>
      </c>
      <c r="X37" s="56" t="s">
        <v>125</v>
      </c>
      <c r="Y37" s="56"/>
    </row>
    <row r="38" spans="1:25" ht="16.5" x14ac:dyDescent="0.2">
      <c r="A38" s="17">
        <v>37</v>
      </c>
      <c r="B38" s="17" t="s">
        <v>506</v>
      </c>
      <c r="C38" s="35" t="s">
        <v>570</v>
      </c>
      <c r="D38" s="17">
        <v>1</v>
      </c>
      <c r="E38" s="17">
        <v>4</v>
      </c>
      <c r="F38" s="17" t="s">
        <v>218</v>
      </c>
      <c r="G38" s="17" t="s">
        <v>54</v>
      </c>
      <c r="H38" s="17" t="s">
        <v>73</v>
      </c>
      <c r="I38" s="17" t="s">
        <v>74</v>
      </c>
      <c r="J38" s="22" t="s">
        <v>57</v>
      </c>
      <c r="K38" s="17" t="s">
        <v>35</v>
      </c>
      <c r="L38" s="17" t="s">
        <v>694</v>
      </c>
      <c r="M38" s="75">
        <v>0.96709999999999996</v>
      </c>
      <c r="N38" s="21" t="s">
        <v>808</v>
      </c>
      <c r="O38" s="21" t="s">
        <v>553</v>
      </c>
      <c r="P38" s="21" t="s">
        <v>221</v>
      </c>
      <c r="Q38" s="17" t="s">
        <v>71</v>
      </c>
      <c r="R38" s="17" t="s">
        <v>60</v>
      </c>
      <c r="S38" s="17" t="s">
        <v>52</v>
      </c>
      <c r="T38" s="17" t="s">
        <v>24</v>
      </c>
      <c r="U38" s="118"/>
      <c r="V38" s="42" t="s">
        <v>125</v>
      </c>
      <c r="W38" s="42" t="s">
        <v>125</v>
      </c>
      <c r="X38" s="42" t="s">
        <v>125</v>
      </c>
      <c r="Y38" s="42"/>
    </row>
    <row r="39" spans="1:25" ht="16.5" x14ac:dyDescent="0.2">
      <c r="A39" s="1">
        <v>38</v>
      </c>
      <c r="B39" s="1" t="s">
        <v>507</v>
      </c>
      <c r="C39" s="101" t="s">
        <v>571</v>
      </c>
      <c r="D39" s="1">
        <v>1</v>
      </c>
      <c r="E39" s="1">
        <v>4</v>
      </c>
      <c r="F39" s="1" t="s">
        <v>218</v>
      </c>
      <c r="G39" s="1" t="s">
        <v>54</v>
      </c>
      <c r="H39" s="1" t="s">
        <v>73</v>
      </c>
      <c r="I39" s="1" t="s">
        <v>74</v>
      </c>
      <c r="J39" s="41" t="s">
        <v>57</v>
      </c>
      <c r="K39" s="1" t="s">
        <v>35</v>
      </c>
      <c r="L39" s="1" t="s">
        <v>694</v>
      </c>
      <c r="M39" s="77">
        <v>0.96709999999999996</v>
      </c>
      <c r="N39" s="6" t="s">
        <v>808</v>
      </c>
      <c r="O39" s="6" t="s">
        <v>553</v>
      </c>
      <c r="P39" s="6" t="s">
        <v>222</v>
      </c>
      <c r="Q39" s="1" t="s">
        <v>71</v>
      </c>
      <c r="R39" s="1" t="s">
        <v>60</v>
      </c>
      <c r="S39" s="1" t="s">
        <v>52</v>
      </c>
      <c r="T39" s="1" t="s">
        <v>24</v>
      </c>
      <c r="U39" s="118"/>
      <c r="V39" s="56" t="s">
        <v>125</v>
      </c>
      <c r="W39" s="56" t="s">
        <v>125</v>
      </c>
      <c r="X39" s="56" t="s">
        <v>125</v>
      </c>
      <c r="Y39" s="56" t="s">
        <v>125</v>
      </c>
    </row>
    <row r="40" spans="1:25" ht="16.5" x14ac:dyDescent="0.2">
      <c r="A40" s="17">
        <v>39</v>
      </c>
      <c r="B40" s="17" t="s">
        <v>508</v>
      </c>
      <c r="C40" s="35" t="s">
        <v>572</v>
      </c>
      <c r="D40" s="17">
        <v>1</v>
      </c>
      <c r="E40" s="17">
        <v>4</v>
      </c>
      <c r="F40" s="17" t="s">
        <v>218</v>
      </c>
      <c r="G40" s="17" t="s">
        <v>54</v>
      </c>
      <c r="H40" s="17" t="s">
        <v>73</v>
      </c>
      <c r="I40" s="17" t="s">
        <v>74</v>
      </c>
      <c r="J40" s="22" t="s">
        <v>57</v>
      </c>
      <c r="K40" s="17" t="s">
        <v>35</v>
      </c>
      <c r="L40" s="17" t="s">
        <v>694</v>
      </c>
      <c r="M40" s="75">
        <v>0.96709999999999996</v>
      </c>
      <c r="N40" s="21" t="s">
        <v>808</v>
      </c>
      <c r="O40" s="21" t="s">
        <v>553</v>
      </c>
      <c r="P40" s="17" t="s">
        <v>223</v>
      </c>
      <c r="Q40" s="17" t="s">
        <v>71</v>
      </c>
      <c r="R40" s="17" t="s">
        <v>60</v>
      </c>
      <c r="S40" s="17" t="s">
        <v>52</v>
      </c>
      <c r="T40" s="17" t="s">
        <v>24</v>
      </c>
      <c r="U40" s="119"/>
      <c r="V40" s="42" t="s">
        <v>125</v>
      </c>
      <c r="W40" s="42" t="s">
        <v>125</v>
      </c>
      <c r="X40" s="42" t="s">
        <v>125</v>
      </c>
      <c r="Y40" s="42"/>
    </row>
    <row r="41" spans="1:25" ht="16.5" x14ac:dyDescent="0.2">
      <c r="M41" s="45" t="s">
        <v>160</v>
      </c>
      <c r="N41" s="44" t="s">
        <v>157</v>
      </c>
      <c r="O41" s="43" t="s">
        <v>156</v>
      </c>
    </row>
    <row r="43" spans="1:25" x14ac:dyDescent="0.2">
      <c r="C43" s="82"/>
    </row>
    <row r="44" spans="1:25" x14ac:dyDescent="0.2">
      <c r="C44" s="82"/>
    </row>
  </sheetData>
  <mergeCells count="3">
    <mergeCell ref="U29:U40"/>
    <mergeCell ref="U12:U14"/>
    <mergeCell ref="U15:U23"/>
  </mergeCells>
  <phoneticPr fontId="8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5B80-8273-4915-9192-55294E114D3F}">
  <dimension ref="A1:X53"/>
  <sheetViews>
    <sheetView zoomScale="80" zoomScaleNormal="80" workbookViewId="0">
      <selection activeCell="F28" sqref="F28"/>
    </sheetView>
  </sheetViews>
  <sheetFormatPr defaultColWidth="9" defaultRowHeight="14.25" x14ac:dyDescent="0.2"/>
  <cols>
    <col min="1" max="1" width="5.5" customWidth="1"/>
    <col min="2" max="2" width="24.375" bestFit="1" customWidth="1"/>
    <col min="3" max="3" width="50.625" bestFit="1" customWidth="1"/>
    <col min="4" max="4" width="22.375" customWidth="1"/>
    <col min="5" max="6" width="20.75" customWidth="1"/>
    <col min="7" max="9" width="14.75" customWidth="1"/>
    <col min="10" max="11" width="10.75" customWidth="1"/>
    <col min="12" max="15" width="14.75" customWidth="1"/>
    <col min="16" max="19" width="10.75" customWidth="1"/>
    <col min="20" max="20" width="24.5" customWidth="1"/>
    <col min="21" max="24" width="10.75" customWidth="1"/>
  </cols>
  <sheetData>
    <row r="1" spans="1:24" s="8" customFormat="1" ht="36" x14ac:dyDescent="0.2">
      <c r="A1" s="30" t="s">
        <v>0</v>
      </c>
      <c r="B1" s="30" t="s">
        <v>1</v>
      </c>
      <c r="C1" s="30" t="s">
        <v>2</v>
      </c>
      <c r="D1" s="30" t="s">
        <v>238</v>
      </c>
      <c r="E1" s="30" t="s">
        <v>233</v>
      </c>
      <c r="F1" s="30" t="s">
        <v>154</v>
      </c>
      <c r="G1" s="30" t="s">
        <v>364</v>
      </c>
      <c r="H1" s="30" t="s">
        <v>239</v>
      </c>
      <c r="I1" s="30" t="s">
        <v>240</v>
      </c>
      <c r="J1" s="30" t="s">
        <v>241</v>
      </c>
      <c r="K1" s="30" t="s">
        <v>242</v>
      </c>
      <c r="L1" s="30" t="s">
        <v>155</v>
      </c>
      <c r="M1" s="30" t="s">
        <v>243</v>
      </c>
      <c r="N1" s="30" t="s">
        <v>245</v>
      </c>
      <c r="O1" s="30" t="s">
        <v>254</v>
      </c>
      <c r="P1" s="30" t="s">
        <v>247</v>
      </c>
      <c r="Q1" s="30" t="s">
        <v>248</v>
      </c>
      <c r="R1" s="30" t="s">
        <v>380</v>
      </c>
      <c r="S1" s="30" t="s">
        <v>365</v>
      </c>
      <c r="T1" s="30" t="s">
        <v>250</v>
      </c>
      <c r="U1" s="30" t="s">
        <v>253</v>
      </c>
      <c r="V1" s="30" t="s">
        <v>251</v>
      </c>
      <c r="W1" s="30" t="s">
        <v>252</v>
      </c>
      <c r="X1" s="30" t="s">
        <v>367</v>
      </c>
    </row>
    <row r="2" spans="1:24" s="5" customFormat="1" ht="16.5" x14ac:dyDescent="0.2">
      <c r="A2" s="17">
        <v>1</v>
      </c>
      <c r="B2" s="17" t="s">
        <v>714</v>
      </c>
      <c r="C2" s="70" t="s">
        <v>775</v>
      </c>
      <c r="D2" s="20" t="s">
        <v>232</v>
      </c>
      <c r="E2" s="20" t="s">
        <v>526</v>
      </c>
      <c r="F2" s="21" t="s">
        <v>527</v>
      </c>
      <c r="G2" s="21" t="s">
        <v>375</v>
      </c>
      <c r="H2" s="21" t="s">
        <v>237</v>
      </c>
      <c r="I2" s="60">
        <v>1</v>
      </c>
      <c r="J2" s="75">
        <v>4.1000000000000003E-3</v>
      </c>
      <c r="K2" s="63">
        <v>49.99</v>
      </c>
      <c r="L2" s="21" t="s">
        <v>529</v>
      </c>
      <c r="M2" s="21" t="s">
        <v>244</v>
      </c>
      <c r="N2" s="65" t="s">
        <v>532</v>
      </c>
      <c r="O2" s="17" t="s">
        <v>257</v>
      </c>
      <c r="P2" s="17" t="s">
        <v>244</v>
      </c>
      <c r="Q2" s="17">
        <v>0</v>
      </c>
      <c r="R2" s="17">
        <v>0</v>
      </c>
      <c r="S2" s="17">
        <v>0</v>
      </c>
      <c r="T2" s="21" t="s">
        <v>534</v>
      </c>
      <c r="U2" s="67">
        <v>0.9</v>
      </c>
      <c r="V2" s="60">
        <v>3</v>
      </c>
      <c r="W2" s="17">
        <v>10</v>
      </c>
      <c r="X2" s="17">
        <v>54.2</v>
      </c>
    </row>
    <row r="3" spans="1:24" s="5" customFormat="1" ht="16.5" x14ac:dyDescent="0.2">
      <c r="A3" s="1">
        <v>2</v>
      </c>
      <c r="B3" s="1" t="s">
        <v>715</v>
      </c>
      <c r="C3" s="71" t="s">
        <v>776</v>
      </c>
      <c r="D3" s="15" t="s">
        <v>232</v>
      </c>
      <c r="E3" s="15" t="s">
        <v>526</v>
      </c>
      <c r="F3" s="6" t="s">
        <v>387</v>
      </c>
      <c r="G3" s="6" t="s">
        <v>375</v>
      </c>
      <c r="H3" s="6" t="s">
        <v>237</v>
      </c>
      <c r="I3" s="61">
        <v>1</v>
      </c>
      <c r="J3" s="77">
        <v>4.1000000000000003E-3</v>
      </c>
      <c r="K3" s="62">
        <v>49.99</v>
      </c>
      <c r="L3" s="6" t="s">
        <v>530</v>
      </c>
      <c r="M3" s="6" t="s">
        <v>244</v>
      </c>
      <c r="N3" s="64" t="s">
        <v>532</v>
      </c>
      <c r="O3" s="1" t="s">
        <v>257</v>
      </c>
      <c r="P3" s="1" t="s">
        <v>244</v>
      </c>
      <c r="Q3" s="1">
        <v>0</v>
      </c>
      <c r="R3" s="1">
        <v>0</v>
      </c>
      <c r="S3" s="1">
        <v>0</v>
      </c>
      <c r="T3" s="6" t="s">
        <v>535</v>
      </c>
      <c r="U3" s="66">
        <v>0.9</v>
      </c>
      <c r="V3" s="61">
        <v>3</v>
      </c>
      <c r="W3" s="1">
        <v>10</v>
      </c>
      <c r="X3" s="1">
        <v>54.2</v>
      </c>
    </row>
    <row r="4" spans="1:24" s="5" customFormat="1" ht="16.5" x14ac:dyDescent="0.2">
      <c r="A4" s="17">
        <v>3</v>
      </c>
      <c r="B4" s="17" t="s">
        <v>716</v>
      </c>
      <c r="C4" s="70" t="s">
        <v>777</v>
      </c>
      <c r="D4" s="20" t="s">
        <v>368</v>
      </c>
      <c r="E4" s="20" t="s">
        <v>525</v>
      </c>
      <c r="F4" s="21" t="s">
        <v>386</v>
      </c>
      <c r="G4" s="21" t="s">
        <v>374</v>
      </c>
      <c r="H4" s="21" t="s">
        <v>236</v>
      </c>
      <c r="I4" s="60">
        <v>1</v>
      </c>
      <c r="J4" s="75">
        <v>4.1000000000000003E-3</v>
      </c>
      <c r="K4" s="63">
        <v>49.99</v>
      </c>
      <c r="L4" s="21" t="s">
        <v>528</v>
      </c>
      <c r="M4" s="21" t="s">
        <v>244</v>
      </c>
      <c r="N4" s="65" t="s">
        <v>531</v>
      </c>
      <c r="O4" s="17" t="s">
        <v>256</v>
      </c>
      <c r="P4" s="17" t="s">
        <v>244</v>
      </c>
      <c r="Q4" s="17">
        <v>0</v>
      </c>
      <c r="R4" s="17">
        <v>0</v>
      </c>
      <c r="S4" s="17">
        <v>0</v>
      </c>
      <c r="T4" s="21" t="s">
        <v>533</v>
      </c>
      <c r="U4" s="67">
        <v>0.9</v>
      </c>
      <c r="V4" s="60">
        <v>3</v>
      </c>
      <c r="W4" s="17">
        <v>10</v>
      </c>
      <c r="X4" s="17">
        <v>54.2</v>
      </c>
    </row>
    <row r="5" spans="1:24" s="5" customFormat="1" ht="16.5" x14ac:dyDescent="0.2">
      <c r="A5" s="1">
        <v>4</v>
      </c>
      <c r="B5" s="1" t="s">
        <v>717</v>
      </c>
      <c r="C5" s="71" t="s">
        <v>778</v>
      </c>
      <c r="D5" s="15" t="s">
        <v>368</v>
      </c>
      <c r="E5" s="15" t="s">
        <v>525</v>
      </c>
      <c r="F5" s="6" t="s">
        <v>386</v>
      </c>
      <c r="G5" s="6" t="s">
        <v>374</v>
      </c>
      <c r="H5" s="6" t="s">
        <v>236</v>
      </c>
      <c r="I5" s="61">
        <v>1</v>
      </c>
      <c r="J5" s="77">
        <v>4.1000000000000003E-3</v>
      </c>
      <c r="K5" s="62">
        <v>49.99</v>
      </c>
      <c r="L5" s="6" t="s">
        <v>528</v>
      </c>
      <c r="M5" s="6" t="s">
        <v>244</v>
      </c>
      <c r="N5" s="64" t="s">
        <v>531</v>
      </c>
      <c r="O5" s="1" t="s">
        <v>256</v>
      </c>
      <c r="P5" s="1" t="s">
        <v>244</v>
      </c>
      <c r="Q5" s="1">
        <v>0</v>
      </c>
      <c r="R5" s="1">
        <v>0</v>
      </c>
      <c r="S5" s="1">
        <v>0</v>
      </c>
      <c r="T5" s="6" t="s">
        <v>533</v>
      </c>
      <c r="U5" s="66">
        <v>0.9</v>
      </c>
      <c r="V5" s="61">
        <v>3</v>
      </c>
      <c r="W5" s="1">
        <v>10</v>
      </c>
      <c r="X5" s="1">
        <v>54.2</v>
      </c>
    </row>
    <row r="6" spans="1:24" s="5" customFormat="1" ht="16.5" x14ac:dyDescent="0.2">
      <c r="A6" s="17">
        <v>5</v>
      </c>
      <c r="B6" s="17" t="s">
        <v>718</v>
      </c>
      <c r="C6" s="70" t="s">
        <v>779</v>
      </c>
      <c r="D6" s="20" t="s">
        <v>368</v>
      </c>
      <c r="E6" s="20" t="s">
        <v>525</v>
      </c>
      <c r="F6" s="21" t="s">
        <v>386</v>
      </c>
      <c r="G6" s="21" t="s">
        <v>374</v>
      </c>
      <c r="H6" s="21" t="s">
        <v>236</v>
      </c>
      <c r="I6" s="60">
        <v>1</v>
      </c>
      <c r="J6" s="75">
        <v>4.1000000000000003E-3</v>
      </c>
      <c r="K6" s="63">
        <v>49.99</v>
      </c>
      <c r="L6" s="21" t="s">
        <v>528</v>
      </c>
      <c r="M6" s="21" t="s">
        <v>244</v>
      </c>
      <c r="N6" s="65" t="s">
        <v>531</v>
      </c>
      <c r="O6" s="17" t="s">
        <v>256</v>
      </c>
      <c r="P6" s="17" t="s">
        <v>244</v>
      </c>
      <c r="Q6" s="17">
        <v>0</v>
      </c>
      <c r="R6" s="17">
        <v>0</v>
      </c>
      <c r="S6" s="17">
        <v>0</v>
      </c>
      <c r="T6" s="21" t="s">
        <v>533</v>
      </c>
      <c r="U6" s="67">
        <v>0.9</v>
      </c>
      <c r="V6" s="60">
        <v>3</v>
      </c>
      <c r="W6" s="17">
        <v>10</v>
      </c>
      <c r="X6" s="17">
        <v>54.2</v>
      </c>
    </row>
    <row r="7" spans="1:24" s="5" customFormat="1" ht="16.5" x14ac:dyDescent="0.2">
      <c r="A7" s="1">
        <v>6</v>
      </c>
      <c r="B7" s="1" t="s">
        <v>719</v>
      </c>
      <c r="C7" s="71" t="s">
        <v>780</v>
      </c>
      <c r="D7" s="15" t="s">
        <v>368</v>
      </c>
      <c r="E7" s="15" t="s">
        <v>525</v>
      </c>
      <c r="F7" s="6" t="s">
        <v>386</v>
      </c>
      <c r="G7" s="6" t="s">
        <v>374</v>
      </c>
      <c r="H7" s="6" t="s">
        <v>236</v>
      </c>
      <c r="I7" s="61">
        <v>1</v>
      </c>
      <c r="J7" s="77">
        <v>4.1000000000000003E-3</v>
      </c>
      <c r="K7" s="62">
        <v>49.99</v>
      </c>
      <c r="L7" s="6" t="s">
        <v>528</v>
      </c>
      <c r="M7" s="6" t="s">
        <v>244</v>
      </c>
      <c r="N7" s="64" t="s">
        <v>531</v>
      </c>
      <c r="O7" s="1" t="s">
        <v>256</v>
      </c>
      <c r="P7" s="1" t="s">
        <v>244</v>
      </c>
      <c r="Q7" s="1">
        <v>0</v>
      </c>
      <c r="R7" s="1">
        <v>0</v>
      </c>
      <c r="S7" s="1">
        <v>0</v>
      </c>
      <c r="T7" s="6" t="s">
        <v>533</v>
      </c>
      <c r="U7" s="66">
        <v>0.9</v>
      </c>
      <c r="V7" s="61">
        <v>3</v>
      </c>
      <c r="W7" s="1">
        <v>10</v>
      </c>
      <c r="X7" s="1">
        <v>54.2</v>
      </c>
    </row>
    <row r="8" spans="1:24" s="5" customFormat="1" ht="16.5" x14ac:dyDescent="0.2">
      <c r="A8" s="17">
        <v>7</v>
      </c>
      <c r="B8" s="17" t="s">
        <v>720</v>
      </c>
      <c r="C8" s="70" t="s">
        <v>781</v>
      </c>
      <c r="D8" s="20" t="s">
        <v>368</v>
      </c>
      <c r="E8" s="20" t="s">
        <v>525</v>
      </c>
      <c r="F8" s="21" t="s">
        <v>386</v>
      </c>
      <c r="G8" s="21" t="s">
        <v>374</v>
      </c>
      <c r="H8" s="21" t="s">
        <v>236</v>
      </c>
      <c r="I8" s="60">
        <v>1</v>
      </c>
      <c r="J8" s="75">
        <v>4.1000000000000003E-3</v>
      </c>
      <c r="K8" s="63">
        <v>49.99</v>
      </c>
      <c r="L8" s="21" t="s">
        <v>528</v>
      </c>
      <c r="M8" s="21" t="s">
        <v>244</v>
      </c>
      <c r="N8" s="65" t="s">
        <v>531</v>
      </c>
      <c r="O8" s="17" t="s">
        <v>256</v>
      </c>
      <c r="P8" s="17" t="s">
        <v>244</v>
      </c>
      <c r="Q8" s="17">
        <v>0</v>
      </c>
      <c r="R8" s="17">
        <v>0</v>
      </c>
      <c r="S8" s="17">
        <v>0</v>
      </c>
      <c r="T8" s="21" t="s">
        <v>533</v>
      </c>
      <c r="U8" s="67">
        <v>0.9</v>
      </c>
      <c r="V8" s="60">
        <v>3</v>
      </c>
      <c r="W8" s="17">
        <v>10</v>
      </c>
      <c r="X8" s="17">
        <v>54.2</v>
      </c>
    </row>
    <row r="9" spans="1:24" s="5" customFormat="1" ht="16.5" x14ac:dyDescent="0.2">
      <c r="A9" s="1">
        <v>8</v>
      </c>
      <c r="B9" s="1" t="s">
        <v>721</v>
      </c>
      <c r="C9" s="71" t="s">
        <v>782</v>
      </c>
      <c r="D9" s="15" t="s">
        <v>368</v>
      </c>
      <c r="E9" s="15" t="s">
        <v>525</v>
      </c>
      <c r="F9" s="6" t="s">
        <v>386</v>
      </c>
      <c r="G9" s="6" t="s">
        <v>374</v>
      </c>
      <c r="H9" s="6" t="s">
        <v>236</v>
      </c>
      <c r="I9" s="61">
        <v>1</v>
      </c>
      <c r="J9" s="77">
        <v>4.1000000000000003E-3</v>
      </c>
      <c r="K9" s="62">
        <v>49.99</v>
      </c>
      <c r="L9" s="6" t="s">
        <v>528</v>
      </c>
      <c r="M9" s="6" t="s">
        <v>244</v>
      </c>
      <c r="N9" s="64" t="s">
        <v>531</v>
      </c>
      <c r="O9" s="1" t="s">
        <v>256</v>
      </c>
      <c r="P9" s="1" t="s">
        <v>244</v>
      </c>
      <c r="Q9" s="1">
        <v>0</v>
      </c>
      <c r="R9" s="1">
        <v>0</v>
      </c>
      <c r="S9" s="1">
        <v>0</v>
      </c>
      <c r="T9" s="6" t="s">
        <v>533</v>
      </c>
      <c r="U9" s="66">
        <v>0.9</v>
      </c>
      <c r="V9" s="61">
        <v>3</v>
      </c>
      <c r="W9" s="1">
        <v>10</v>
      </c>
      <c r="X9" s="1">
        <v>54.2</v>
      </c>
    </row>
    <row r="10" spans="1:24" s="5" customFormat="1" ht="16.5" x14ac:dyDescent="0.3">
      <c r="A10" s="17">
        <v>9</v>
      </c>
      <c r="B10" s="23" t="s">
        <v>722</v>
      </c>
      <c r="C10" s="70" t="s">
        <v>783</v>
      </c>
      <c r="D10" s="20" t="s">
        <v>368</v>
      </c>
      <c r="E10" s="20" t="s">
        <v>525</v>
      </c>
      <c r="F10" s="21" t="s">
        <v>386</v>
      </c>
      <c r="G10" s="21" t="s">
        <v>374</v>
      </c>
      <c r="H10" s="21" t="s">
        <v>236</v>
      </c>
      <c r="I10" s="60">
        <v>1</v>
      </c>
      <c r="J10" s="75">
        <v>4.1000000000000003E-3</v>
      </c>
      <c r="K10" s="63">
        <v>49.99</v>
      </c>
      <c r="L10" s="21" t="s">
        <v>528</v>
      </c>
      <c r="M10" s="21" t="s">
        <v>244</v>
      </c>
      <c r="N10" s="65" t="s">
        <v>531</v>
      </c>
      <c r="O10" s="17" t="s">
        <v>256</v>
      </c>
      <c r="P10" s="17" t="s">
        <v>244</v>
      </c>
      <c r="Q10" s="17">
        <v>0</v>
      </c>
      <c r="R10" s="17">
        <v>0</v>
      </c>
      <c r="S10" s="17">
        <v>0</v>
      </c>
      <c r="T10" s="21" t="s">
        <v>533</v>
      </c>
      <c r="U10" s="67">
        <v>0.9</v>
      </c>
      <c r="V10" s="60">
        <v>3</v>
      </c>
      <c r="W10" s="17">
        <v>10</v>
      </c>
      <c r="X10" s="17">
        <v>54.2</v>
      </c>
    </row>
    <row r="11" spans="1:24" s="5" customFormat="1" ht="16.5" x14ac:dyDescent="0.3">
      <c r="A11" s="1">
        <v>10</v>
      </c>
      <c r="B11" s="10" t="s">
        <v>723</v>
      </c>
      <c r="C11" s="71" t="s">
        <v>784</v>
      </c>
      <c r="D11" s="15" t="s">
        <v>368</v>
      </c>
      <c r="E11" s="15" t="s">
        <v>525</v>
      </c>
      <c r="F11" s="6" t="s">
        <v>386</v>
      </c>
      <c r="G11" s="6" t="s">
        <v>374</v>
      </c>
      <c r="H11" s="6" t="s">
        <v>236</v>
      </c>
      <c r="I11" s="61">
        <v>1</v>
      </c>
      <c r="J11" s="77">
        <v>4.1000000000000003E-3</v>
      </c>
      <c r="K11" s="62">
        <v>49.99</v>
      </c>
      <c r="L11" s="6" t="s">
        <v>528</v>
      </c>
      <c r="M11" s="6" t="s">
        <v>244</v>
      </c>
      <c r="N11" s="64" t="s">
        <v>531</v>
      </c>
      <c r="O11" s="1" t="s">
        <v>256</v>
      </c>
      <c r="P11" s="1" t="s">
        <v>244</v>
      </c>
      <c r="Q11" s="1">
        <v>0</v>
      </c>
      <c r="R11" s="1">
        <v>0</v>
      </c>
      <c r="S11" s="1">
        <v>0</v>
      </c>
      <c r="T11" s="6" t="s">
        <v>533</v>
      </c>
      <c r="U11" s="66">
        <v>0.9</v>
      </c>
      <c r="V11" s="61">
        <v>3</v>
      </c>
      <c r="W11" s="1">
        <v>10</v>
      </c>
      <c r="X11" s="1">
        <v>54.2</v>
      </c>
    </row>
    <row r="12" spans="1:24" s="5" customFormat="1" ht="16.5" x14ac:dyDescent="0.3">
      <c r="A12" s="17">
        <v>11</v>
      </c>
      <c r="B12" s="23" t="s">
        <v>724</v>
      </c>
      <c r="C12" s="70" t="s">
        <v>785</v>
      </c>
      <c r="D12" s="20" t="s">
        <v>356</v>
      </c>
      <c r="E12" s="20" t="s">
        <v>357</v>
      </c>
      <c r="F12" s="21" t="s">
        <v>360</v>
      </c>
      <c r="G12" s="21" t="s">
        <v>389</v>
      </c>
      <c r="H12" s="21" t="s">
        <v>236</v>
      </c>
      <c r="I12" s="60">
        <v>1</v>
      </c>
      <c r="J12" s="75">
        <v>3.7000000000000002E-3</v>
      </c>
      <c r="K12" s="63">
        <v>50.01</v>
      </c>
      <c r="L12" s="21" t="s">
        <v>361</v>
      </c>
      <c r="M12" s="21" t="s">
        <v>244</v>
      </c>
      <c r="N12" s="65" t="s">
        <v>362</v>
      </c>
      <c r="O12" s="17">
        <v>0</v>
      </c>
      <c r="P12" s="17" t="s">
        <v>244</v>
      </c>
      <c r="Q12" s="17">
        <v>0</v>
      </c>
      <c r="R12" s="17">
        <v>0</v>
      </c>
      <c r="S12" s="17" t="s">
        <v>366</v>
      </c>
      <c r="T12" s="21" t="s">
        <v>363</v>
      </c>
      <c r="U12" s="67">
        <v>0.8</v>
      </c>
      <c r="V12" s="60">
        <v>3</v>
      </c>
      <c r="W12" s="17">
        <v>10</v>
      </c>
      <c r="X12" s="17">
        <v>53.6</v>
      </c>
    </row>
    <row r="13" spans="1:24" s="5" customFormat="1" ht="16.5" x14ac:dyDescent="0.3">
      <c r="A13" s="1">
        <v>12</v>
      </c>
      <c r="B13" s="10" t="s">
        <v>725</v>
      </c>
      <c r="C13" s="71" t="s">
        <v>786</v>
      </c>
      <c r="D13" s="15" t="s">
        <v>356</v>
      </c>
      <c r="E13" s="15" t="s">
        <v>357</v>
      </c>
      <c r="F13" s="6" t="s">
        <v>360</v>
      </c>
      <c r="G13" s="6" t="s">
        <v>389</v>
      </c>
      <c r="H13" s="6" t="s">
        <v>236</v>
      </c>
      <c r="I13" s="61">
        <v>1</v>
      </c>
      <c r="J13" s="77">
        <v>3.7000000000000002E-3</v>
      </c>
      <c r="K13" s="62">
        <v>50.01</v>
      </c>
      <c r="L13" s="6" t="s">
        <v>361</v>
      </c>
      <c r="M13" s="6" t="s">
        <v>244</v>
      </c>
      <c r="N13" s="64" t="s">
        <v>362</v>
      </c>
      <c r="O13" s="1">
        <v>0</v>
      </c>
      <c r="P13" s="1" t="s">
        <v>244</v>
      </c>
      <c r="Q13" s="1">
        <v>0</v>
      </c>
      <c r="R13" s="1">
        <v>0</v>
      </c>
      <c r="S13" s="1" t="s">
        <v>366</v>
      </c>
      <c r="T13" s="6" t="s">
        <v>363</v>
      </c>
      <c r="U13" s="66">
        <v>0.8</v>
      </c>
      <c r="V13" s="61">
        <v>3</v>
      </c>
      <c r="W13" s="1">
        <v>10</v>
      </c>
      <c r="X13" s="1">
        <v>53.6</v>
      </c>
    </row>
    <row r="14" spans="1:24" s="5" customFormat="1" ht="16.5" x14ac:dyDescent="0.3">
      <c r="A14" s="17">
        <v>13</v>
      </c>
      <c r="B14" s="23" t="s">
        <v>726</v>
      </c>
      <c r="C14" s="70" t="s">
        <v>787</v>
      </c>
      <c r="D14" s="20" t="s">
        <v>802</v>
      </c>
      <c r="E14" s="20" t="s">
        <v>803</v>
      </c>
      <c r="F14" s="21" t="s">
        <v>804</v>
      </c>
      <c r="G14" s="21" t="s">
        <v>388</v>
      </c>
      <c r="H14" s="21" t="s">
        <v>236</v>
      </c>
      <c r="I14" s="60">
        <v>1</v>
      </c>
      <c r="J14" s="75">
        <v>3.7000000000000002E-3</v>
      </c>
      <c r="K14" s="63">
        <v>50.01</v>
      </c>
      <c r="L14" s="21" t="s">
        <v>805</v>
      </c>
      <c r="M14" s="21" t="s">
        <v>244</v>
      </c>
      <c r="N14" s="65" t="s">
        <v>806</v>
      </c>
      <c r="O14" s="17">
        <v>0</v>
      </c>
      <c r="P14" s="17" t="s">
        <v>244</v>
      </c>
      <c r="Q14" s="17">
        <v>0</v>
      </c>
      <c r="R14" s="17">
        <v>0</v>
      </c>
      <c r="S14" s="17" t="s">
        <v>366</v>
      </c>
      <c r="T14" s="21" t="s">
        <v>807</v>
      </c>
      <c r="U14" s="67">
        <v>0.8</v>
      </c>
      <c r="V14" s="60">
        <v>3</v>
      </c>
      <c r="W14" s="17">
        <v>10</v>
      </c>
      <c r="X14" s="17">
        <v>53.6</v>
      </c>
    </row>
    <row r="15" spans="1:24" s="5" customFormat="1" ht="16.5" x14ac:dyDescent="0.3">
      <c r="A15" s="1">
        <v>14</v>
      </c>
      <c r="B15" s="10" t="s">
        <v>727</v>
      </c>
      <c r="C15" s="79" t="s">
        <v>788</v>
      </c>
      <c r="D15" s="15" t="s">
        <v>383</v>
      </c>
      <c r="E15" s="15" t="s">
        <v>536</v>
      </c>
      <c r="F15" s="6" t="s">
        <v>538</v>
      </c>
      <c r="G15" s="6" t="s">
        <v>374</v>
      </c>
      <c r="H15" s="6" t="s">
        <v>236</v>
      </c>
      <c r="I15" s="61">
        <v>1</v>
      </c>
      <c r="J15" s="77">
        <v>3.3E-3</v>
      </c>
      <c r="K15" s="62">
        <v>49.99</v>
      </c>
      <c r="L15" s="6" t="s">
        <v>540</v>
      </c>
      <c r="M15" s="6" t="s">
        <v>543</v>
      </c>
      <c r="N15" s="64" t="s">
        <v>545</v>
      </c>
      <c r="O15" s="1" t="s">
        <v>256</v>
      </c>
      <c r="P15" s="1">
        <v>0.01</v>
      </c>
      <c r="Q15" s="1">
        <v>0</v>
      </c>
      <c r="R15" s="1">
        <v>0</v>
      </c>
      <c r="S15" s="1">
        <v>0</v>
      </c>
      <c r="T15" s="6" t="s">
        <v>547</v>
      </c>
      <c r="U15" s="66">
        <v>0.9</v>
      </c>
      <c r="V15" s="61">
        <v>3</v>
      </c>
      <c r="W15" s="1">
        <v>10</v>
      </c>
      <c r="X15" s="1">
        <v>61.2</v>
      </c>
    </row>
    <row r="16" spans="1:24" s="5" customFormat="1" ht="16.5" x14ac:dyDescent="0.3">
      <c r="A16" s="17">
        <v>15</v>
      </c>
      <c r="B16" s="23" t="s">
        <v>728</v>
      </c>
      <c r="C16" s="73" t="s">
        <v>789</v>
      </c>
      <c r="D16" s="20" t="s">
        <v>383</v>
      </c>
      <c r="E16" s="20" t="s">
        <v>536</v>
      </c>
      <c r="F16" s="21" t="s">
        <v>538</v>
      </c>
      <c r="G16" s="21" t="s">
        <v>374</v>
      </c>
      <c r="H16" s="21" t="s">
        <v>236</v>
      </c>
      <c r="I16" s="60">
        <v>1</v>
      </c>
      <c r="J16" s="75">
        <v>3.3E-3</v>
      </c>
      <c r="K16" s="63">
        <v>49.99</v>
      </c>
      <c r="L16" s="21" t="s">
        <v>540</v>
      </c>
      <c r="M16" s="21" t="s">
        <v>543</v>
      </c>
      <c r="N16" s="65" t="s">
        <v>545</v>
      </c>
      <c r="O16" s="17" t="s">
        <v>256</v>
      </c>
      <c r="P16" s="17">
        <v>0.01</v>
      </c>
      <c r="Q16" s="17">
        <v>0</v>
      </c>
      <c r="R16" s="17">
        <v>0</v>
      </c>
      <c r="S16" s="17">
        <v>0</v>
      </c>
      <c r="T16" s="21" t="s">
        <v>547</v>
      </c>
      <c r="U16" s="67">
        <v>0.9</v>
      </c>
      <c r="V16" s="60">
        <v>3</v>
      </c>
      <c r="W16" s="17">
        <v>10</v>
      </c>
      <c r="X16" s="17">
        <v>61.2</v>
      </c>
    </row>
    <row r="17" spans="1:24" s="5" customFormat="1" ht="16.5" x14ac:dyDescent="0.3">
      <c r="A17" s="1">
        <v>16</v>
      </c>
      <c r="B17" s="10" t="s">
        <v>729</v>
      </c>
      <c r="C17" s="79" t="s">
        <v>790</v>
      </c>
      <c r="D17" s="15" t="s">
        <v>383</v>
      </c>
      <c r="E17" s="15" t="s">
        <v>536</v>
      </c>
      <c r="F17" s="6" t="s">
        <v>538</v>
      </c>
      <c r="G17" s="6" t="s">
        <v>374</v>
      </c>
      <c r="H17" s="6" t="s">
        <v>236</v>
      </c>
      <c r="I17" s="61">
        <v>1</v>
      </c>
      <c r="J17" s="77">
        <v>3.3E-3</v>
      </c>
      <c r="K17" s="62">
        <v>49.99</v>
      </c>
      <c r="L17" s="6" t="s">
        <v>540</v>
      </c>
      <c r="M17" s="6" t="s">
        <v>543</v>
      </c>
      <c r="N17" s="64" t="s">
        <v>545</v>
      </c>
      <c r="O17" s="1" t="s">
        <v>256</v>
      </c>
      <c r="P17" s="1">
        <v>0.01</v>
      </c>
      <c r="Q17" s="1">
        <v>0</v>
      </c>
      <c r="R17" s="1">
        <v>0</v>
      </c>
      <c r="S17" s="1">
        <v>0</v>
      </c>
      <c r="T17" s="6" t="s">
        <v>547</v>
      </c>
      <c r="U17" s="66">
        <v>0.9</v>
      </c>
      <c r="V17" s="61">
        <v>3</v>
      </c>
      <c r="W17" s="1">
        <v>10</v>
      </c>
      <c r="X17" s="1">
        <v>61.2</v>
      </c>
    </row>
    <row r="18" spans="1:24" s="5" customFormat="1" ht="16.5" x14ac:dyDescent="0.3">
      <c r="A18" s="17">
        <v>17</v>
      </c>
      <c r="B18" s="23" t="s">
        <v>730</v>
      </c>
      <c r="C18" s="73" t="s">
        <v>791</v>
      </c>
      <c r="D18" s="20" t="s">
        <v>383</v>
      </c>
      <c r="E18" s="20" t="s">
        <v>536</v>
      </c>
      <c r="F18" s="21" t="s">
        <v>538</v>
      </c>
      <c r="G18" s="21" t="s">
        <v>374</v>
      </c>
      <c r="H18" s="21" t="s">
        <v>236</v>
      </c>
      <c r="I18" s="60">
        <v>1</v>
      </c>
      <c r="J18" s="75">
        <v>3.3E-3</v>
      </c>
      <c r="K18" s="63">
        <v>49.99</v>
      </c>
      <c r="L18" s="21" t="s">
        <v>540</v>
      </c>
      <c r="M18" s="21" t="s">
        <v>543</v>
      </c>
      <c r="N18" s="65" t="s">
        <v>545</v>
      </c>
      <c r="O18" s="17" t="s">
        <v>256</v>
      </c>
      <c r="P18" s="17">
        <v>0.01</v>
      </c>
      <c r="Q18" s="17">
        <v>0</v>
      </c>
      <c r="R18" s="17">
        <v>0</v>
      </c>
      <c r="S18" s="17">
        <v>0</v>
      </c>
      <c r="T18" s="21" t="s">
        <v>547</v>
      </c>
      <c r="U18" s="67">
        <v>0.9</v>
      </c>
      <c r="V18" s="60">
        <v>3</v>
      </c>
      <c r="W18" s="17">
        <v>10</v>
      </c>
      <c r="X18" s="17">
        <v>61.2</v>
      </c>
    </row>
    <row r="19" spans="1:24" s="5" customFormat="1" ht="16.5" x14ac:dyDescent="0.3">
      <c r="A19" s="1">
        <v>18</v>
      </c>
      <c r="B19" s="10" t="s">
        <v>731</v>
      </c>
      <c r="C19" s="79" t="s">
        <v>792</v>
      </c>
      <c r="D19" s="15" t="s">
        <v>383</v>
      </c>
      <c r="E19" s="15" t="s">
        <v>536</v>
      </c>
      <c r="F19" s="6" t="s">
        <v>538</v>
      </c>
      <c r="G19" s="6" t="s">
        <v>374</v>
      </c>
      <c r="H19" s="6" t="s">
        <v>236</v>
      </c>
      <c r="I19" s="61">
        <v>1</v>
      </c>
      <c r="J19" s="77">
        <v>3.3E-3</v>
      </c>
      <c r="K19" s="62">
        <v>49.99</v>
      </c>
      <c r="L19" s="6" t="s">
        <v>540</v>
      </c>
      <c r="M19" s="6" t="s">
        <v>543</v>
      </c>
      <c r="N19" s="64" t="s">
        <v>545</v>
      </c>
      <c r="O19" s="1" t="s">
        <v>256</v>
      </c>
      <c r="P19" s="1">
        <v>0.01</v>
      </c>
      <c r="Q19" s="1">
        <v>0</v>
      </c>
      <c r="R19" s="1">
        <v>0</v>
      </c>
      <c r="S19" s="1">
        <v>0</v>
      </c>
      <c r="T19" s="6" t="s">
        <v>547</v>
      </c>
      <c r="U19" s="66">
        <v>0.9</v>
      </c>
      <c r="V19" s="61">
        <v>3</v>
      </c>
      <c r="W19" s="1">
        <v>10</v>
      </c>
      <c r="X19" s="1">
        <v>61.2</v>
      </c>
    </row>
    <row r="20" spans="1:24" s="5" customFormat="1" ht="16.5" x14ac:dyDescent="0.3">
      <c r="A20" s="17">
        <v>19</v>
      </c>
      <c r="B20" s="23" t="s">
        <v>732</v>
      </c>
      <c r="C20" s="73" t="s">
        <v>793</v>
      </c>
      <c r="D20" s="20" t="s">
        <v>383</v>
      </c>
      <c r="E20" s="20" t="s">
        <v>536</v>
      </c>
      <c r="F20" s="21" t="s">
        <v>538</v>
      </c>
      <c r="G20" s="21" t="s">
        <v>374</v>
      </c>
      <c r="H20" s="21" t="s">
        <v>236</v>
      </c>
      <c r="I20" s="60">
        <v>1</v>
      </c>
      <c r="J20" s="75">
        <v>3.3E-3</v>
      </c>
      <c r="K20" s="63">
        <v>49.99</v>
      </c>
      <c r="L20" s="21" t="s">
        <v>540</v>
      </c>
      <c r="M20" s="21" t="s">
        <v>543</v>
      </c>
      <c r="N20" s="65" t="s">
        <v>545</v>
      </c>
      <c r="O20" s="17" t="s">
        <v>256</v>
      </c>
      <c r="P20" s="17">
        <v>0.01</v>
      </c>
      <c r="Q20" s="17">
        <v>0</v>
      </c>
      <c r="R20" s="17">
        <v>0</v>
      </c>
      <c r="S20" s="17">
        <v>0</v>
      </c>
      <c r="T20" s="21" t="s">
        <v>547</v>
      </c>
      <c r="U20" s="67">
        <v>0.9</v>
      </c>
      <c r="V20" s="60">
        <v>3</v>
      </c>
      <c r="W20" s="17">
        <v>10</v>
      </c>
      <c r="X20" s="17">
        <v>61.2</v>
      </c>
    </row>
    <row r="21" spans="1:24" s="5" customFormat="1" ht="16.5" x14ac:dyDescent="0.3">
      <c r="A21" s="1">
        <v>20</v>
      </c>
      <c r="B21" s="10" t="s">
        <v>733</v>
      </c>
      <c r="C21" s="79" t="s">
        <v>794</v>
      </c>
      <c r="D21" s="15" t="s">
        <v>383</v>
      </c>
      <c r="E21" s="15" t="s">
        <v>536</v>
      </c>
      <c r="F21" s="6" t="s">
        <v>538</v>
      </c>
      <c r="G21" s="6" t="s">
        <v>374</v>
      </c>
      <c r="H21" s="6" t="s">
        <v>236</v>
      </c>
      <c r="I21" s="61">
        <v>1</v>
      </c>
      <c r="J21" s="77">
        <v>3.3E-3</v>
      </c>
      <c r="K21" s="62">
        <v>49.99</v>
      </c>
      <c r="L21" s="6" t="s">
        <v>540</v>
      </c>
      <c r="M21" s="6" t="s">
        <v>543</v>
      </c>
      <c r="N21" s="64" t="s">
        <v>545</v>
      </c>
      <c r="O21" s="1" t="s">
        <v>256</v>
      </c>
      <c r="P21" s="1">
        <v>0.01</v>
      </c>
      <c r="Q21" s="1">
        <v>0</v>
      </c>
      <c r="R21" s="1">
        <v>0</v>
      </c>
      <c r="S21" s="1">
        <v>0</v>
      </c>
      <c r="T21" s="6" t="s">
        <v>547</v>
      </c>
      <c r="U21" s="66">
        <v>0.9</v>
      </c>
      <c r="V21" s="61">
        <v>3</v>
      </c>
      <c r="W21" s="1">
        <v>10</v>
      </c>
      <c r="X21" s="1">
        <v>61.2</v>
      </c>
    </row>
    <row r="22" spans="1:24" s="5" customFormat="1" ht="16.5" x14ac:dyDescent="0.3">
      <c r="A22" s="17">
        <v>21</v>
      </c>
      <c r="B22" s="23" t="s">
        <v>734</v>
      </c>
      <c r="C22" s="73" t="s">
        <v>795</v>
      </c>
      <c r="D22" s="20" t="s">
        <v>383</v>
      </c>
      <c r="E22" s="20" t="s">
        <v>536</v>
      </c>
      <c r="F22" s="21" t="s">
        <v>538</v>
      </c>
      <c r="G22" s="21" t="s">
        <v>374</v>
      </c>
      <c r="H22" s="21" t="s">
        <v>236</v>
      </c>
      <c r="I22" s="60">
        <v>1</v>
      </c>
      <c r="J22" s="75">
        <v>3.3E-3</v>
      </c>
      <c r="K22" s="63">
        <v>49.99</v>
      </c>
      <c r="L22" s="21" t="s">
        <v>540</v>
      </c>
      <c r="M22" s="21" t="s">
        <v>543</v>
      </c>
      <c r="N22" s="65" t="s">
        <v>545</v>
      </c>
      <c r="O22" s="17" t="s">
        <v>256</v>
      </c>
      <c r="P22" s="17">
        <v>0.01</v>
      </c>
      <c r="Q22" s="17">
        <v>0</v>
      </c>
      <c r="R22" s="17">
        <v>0</v>
      </c>
      <c r="S22" s="17">
        <v>0</v>
      </c>
      <c r="T22" s="21" t="s">
        <v>547</v>
      </c>
      <c r="U22" s="67">
        <v>0.9</v>
      </c>
      <c r="V22" s="60">
        <v>3</v>
      </c>
      <c r="W22" s="17">
        <v>10</v>
      </c>
      <c r="X22" s="17">
        <v>61.2</v>
      </c>
    </row>
    <row r="23" spans="1:24" s="5" customFormat="1" ht="16.5" x14ac:dyDescent="0.3">
      <c r="A23" s="1">
        <v>22</v>
      </c>
      <c r="B23" s="10" t="s">
        <v>735</v>
      </c>
      <c r="C23" s="79" t="s">
        <v>796</v>
      </c>
      <c r="D23" s="15" t="s">
        <v>383</v>
      </c>
      <c r="E23" s="15" t="s">
        <v>536</v>
      </c>
      <c r="F23" s="6" t="s">
        <v>538</v>
      </c>
      <c r="G23" s="6" t="s">
        <v>374</v>
      </c>
      <c r="H23" s="6" t="s">
        <v>236</v>
      </c>
      <c r="I23" s="61">
        <v>1</v>
      </c>
      <c r="J23" s="77">
        <v>3.3E-3</v>
      </c>
      <c r="K23" s="62">
        <v>49.99</v>
      </c>
      <c r="L23" s="6" t="s">
        <v>540</v>
      </c>
      <c r="M23" s="6" t="s">
        <v>543</v>
      </c>
      <c r="N23" s="64" t="s">
        <v>545</v>
      </c>
      <c r="O23" s="1" t="s">
        <v>256</v>
      </c>
      <c r="P23" s="1">
        <v>0.01</v>
      </c>
      <c r="Q23" s="1">
        <v>0</v>
      </c>
      <c r="R23" s="1">
        <v>0</v>
      </c>
      <c r="S23" s="1">
        <v>0</v>
      </c>
      <c r="T23" s="6" t="s">
        <v>547</v>
      </c>
      <c r="U23" s="66">
        <v>0.9</v>
      </c>
      <c r="V23" s="61">
        <v>3</v>
      </c>
      <c r="W23" s="1">
        <v>10</v>
      </c>
      <c r="X23" s="1">
        <v>61.2</v>
      </c>
    </row>
    <row r="24" spans="1:24" s="5" customFormat="1" ht="16.5" x14ac:dyDescent="0.3">
      <c r="A24" s="17">
        <v>23</v>
      </c>
      <c r="B24" s="23" t="s">
        <v>825</v>
      </c>
      <c r="C24" s="73" t="s">
        <v>828</v>
      </c>
      <c r="D24" s="20" t="s">
        <v>383</v>
      </c>
      <c r="E24" s="20" t="s">
        <v>536</v>
      </c>
      <c r="F24" s="21" t="s">
        <v>538</v>
      </c>
      <c r="G24" s="21" t="s">
        <v>374</v>
      </c>
      <c r="H24" s="21" t="s">
        <v>236</v>
      </c>
      <c r="I24" s="60">
        <v>1</v>
      </c>
      <c r="J24" s="75">
        <v>3.3E-3</v>
      </c>
      <c r="K24" s="63">
        <v>49.99</v>
      </c>
      <c r="L24" s="21" t="s">
        <v>540</v>
      </c>
      <c r="M24" s="21" t="s">
        <v>543</v>
      </c>
      <c r="N24" s="65" t="s">
        <v>545</v>
      </c>
      <c r="O24" s="17" t="s">
        <v>256</v>
      </c>
      <c r="P24" s="17">
        <v>0.01</v>
      </c>
      <c r="Q24" s="17">
        <v>0</v>
      </c>
      <c r="R24" s="17">
        <v>0</v>
      </c>
      <c r="S24" s="17">
        <v>0</v>
      </c>
      <c r="T24" s="21" t="s">
        <v>547</v>
      </c>
      <c r="U24" s="67">
        <v>0.9</v>
      </c>
      <c r="V24" s="60">
        <v>3</v>
      </c>
      <c r="W24" s="17">
        <v>10</v>
      </c>
      <c r="X24" s="17">
        <v>61.2</v>
      </c>
    </row>
    <row r="25" spans="1:24" s="5" customFormat="1" ht="16.5" x14ac:dyDescent="0.3">
      <c r="A25" s="1">
        <v>24</v>
      </c>
      <c r="B25" s="10" t="s">
        <v>826</v>
      </c>
      <c r="C25" s="79" t="s">
        <v>829</v>
      </c>
      <c r="D25" s="15" t="s">
        <v>383</v>
      </c>
      <c r="E25" s="15" t="s">
        <v>550</v>
      </c>
      <c r="F25" s="6" t="s">
        <v>552</v>
      </c>
      <c r="G25" s="6" t="s">
        <v>374</v>
      </c>
      <c r="H25" s="6" t="s">
        <v>237</v>
      </c>
      <c r="I25" s="61">
        <v>1</v>
      </c>
      <c r="J25" s="77">
        <v>4.7999999999999996E-3</v>
      </c>
      <c r="K25" s="62">
        <v>49.99</v>
      </c>
      <c r="L25" s="6" t="s">
        <v>554</v>
      </c>
      <c r="M25" s="64" t="s">
        <v>556</v>
      </c>
      <c r="N25" s="64" t="s">
        <v>558</v>
      </c>
      <c r="O25" s="1" t="s">
        <v>256</v>
      </c>
      <c r="P25" s="1">
        <v>0.01</v>
      </c>
      <c r="Q25" s="1">
        <v>0</v>
      </c>
      <c r="R25" s="1">
        <v>0</v>
      </c>
      <c r="S25" s="1">
        <v>0</v>
      </c>
      <c r="T25" s="6" t="s">
        <v>560</v>
      </c>
      <c r="U25" s="66">
        <v>1</v>
      </c>
      <c r="V25" s="61">
        <v>3</v>
      </c>
      <c r="W25" s="1">
        <v>10</v>
      </c>
      <c r="X25" s="1" t="s">
        <v>327</v>
      </c>
    </row>
    <row r="26" spans="1:24" s="5" customFormat="1" ht="16.5" x14ac:dyDescent="0.3">
      <c r="A26" s="17">
        <v>25</v>
      </c>
      <c r="B26" s="23" t="s">
        <v>827</v>
      </c>
      <c r="C26" s="73" t="s">
        <v>830</v>
      </c>
      <c r="D26" s="20" t="s">
        <v>383</v>
      </c>
      <c r="E26" s="20" t="s">
        <v>550</v>
      </c>
      <c r="F26" s="21" t="s">
        <v>552</v>
      </c>
      <c r="G26" s="21" t="s">
        <v>374</v>
      </c>
      <c r="H26" s="21" t="s">
        <v>237</v>
      </c>
      <c r="I26" s="60">
        <v>1</v>
      </c>
      <c r="J26" s="75">
        <v>4.7999999999999996E-3</v>
      </c>
      <c r="K26" s="63">
        <v>49.99</v>
      </c>
      <c r="L26" s="21" t="s">
        <v>554</v>
      </c>
      <c r="M26" s="65" t="s">
        <v>556</v>
      </c>
      <c r="N26" s="65" t="s">
        <v>558</v>
      </c>
      <c r="O26" s="17" t="s">
        <v>256</v>
      </c>
      <c r="P26" s="17">
        <v>0.01</v>
      </c>
      <c r="Q26" s="17">
        <v>0</v>
      </c>
      <c r="R26" s="17">
        <v>0</v>
      </c>
      <c r="S26" s="17">
        <v>0</v>
      </c>
      <c r="T26" s="21" t="s">
        <v>560</v>
      </c>
      <c r="U26" s="67">
        <v>1</v>
      </c>
      <c r="V26" s="60">
        <v>3</v>
      </c>
      <c r="W26" s="17">
        <v>10</v>
      </c>
      <c r="X26" s="17" t="s">
        <v>327</v>
      </c>
    </row>
    <row r="27" spans="1:24" ht="16.5" x14ac:dyDescent="0.2">
      <c r="A27" s="1">
        <v>26</v>
      </c>
      <c r="B27" s="1" t="s">
        <v>12</v>
      </c>
      <c r="C27" s="101" t="s">
        <v>511</v>
      </c>
      <c r="D27" s="15" t="s">
        <v>384</v>
      </c>
      <c r="E27" s="15" t="s">
        <v>537</v>
      </c>
      <c r="F27" s="6" t="s">
        <v>539</v>
      </c>
      <c r="G27" s="6" t="s">
        <v>375</v>
      </c>
      <c r="H27" s="6" t="s">
        <v>236</v>
      </c>
      <c r="I27" s="61">
        <v>1</v>
      </c>
      <c r="J27" s="77">
        <v>3.3E-3</v>
      </c>
      <c r="K27" s="62">
        <v>49.99</v>
      </c>
      <c r="L27" s="6" t="s">
        <v>542</v>
      </c>
      <c r="M27" s="6" t="s">
        <v>544</v>
      </c>
      <c r="N27" s="64" t="s">
        <v>546</v>
      </c>
      <c r="O27" s="1" t="s">
        <v>257</v>
      </c>
      <c r="P27" s="1">
        <v>0.01</v>
      </c>
      <c r="Q27" s="1">
        <v>0</v>
      </c>
      <c r="R27" s="1">
        <v>0</v>
      </c>
      <c r="S27" s="1">
        <v>0</v>
      </c>
      <c r="T27" s="6" t="s">
        <v>548</v>
      </c>
      <c r="U27" s="66">
        <v>0.9</v>
      </c>
      <c r="V27" s="61">
        <v>3</v>
      </c>
      <c r="W27" s="1">
        <v>10</v>
      </c>
      <c r="X27" s="1">
        <v>61.2</v>
      </c>
    </row>
    <row r="28" spans="1:24" ht="16.5" x14ac:dyDescent="0.2">
      <c r="A28" s="17">
        <v>27</v>
      </c>
      <c r="B28" s="17" t="s">
        <v>17</v>
      </c>
      <c r="C28" s="35" t="s">
        <v>512</v>
      </c>
      <c r="D28" s="20" t="s">
        <v>383</v>
      </c>
      <c r="E28" s="20" t="s">
        <v>536</v>
      </c>
      <c r="F28" s="21" t="s">
        <v>538</v>
      </c>
      <c r="G28" s="21" t="s">
        <v>374</v>
      </c>
      <c r="H28" s="21" t="s">
        <v>236</v>
      </c>
      <c r="I28" s="60">
        <v>1</v>
      </c>
      <c r="J28" s="75">
        <v>3.3E-3</v>
      </c>
      <c r="K28" s="63">
        <v>49.99</v>
      </c>
      <c r="L28" s="21" t="s">
        <v>540</v>
      </c>
      <c r="M28" s="21" t="s">
        <v>543</v>
      </c>
      <c r="N28" s="65" t="s">
        <v>545</v>
      </c>
      <c r="O28" s="17" t="s">
        <v>256</v>
      </c>
      <c r="P28" s="17">
        <v>0.01</v>
      </c>
      <c r="Q28" s="17">
        <v>0</v>
      </c>
      <c r="R28" s="17">
        <v>0</v>
      </c>
      <c r="S28" s="17">
        <v>0</v>
      </c>
      <c r="T28" s="21" t="s">
        <v>547</v>
      </c>
      <c r="U28" s="67">
        <v>0.9</v>
      </c>
      <c r="V28" s="60">
        <v>3</v>
      </c>
      <c r="W28" s="17">
        <v>10</v>
      </c>
      <c r="X28" s="17">
        <v>61.2</v>
      </c>
    </row>
    <row r="29" spans="1:24" ht="16.5" x14ac:dyDescent="0.2">
      <c r="A29" s="1">
        <v>28</v>
      </c>
      <c r="B29" s="1" t="s">
        <v>18</v>
      </c>
      <c r="C29" s="104" t="s">
        <v>513</v>
      </c>
      <c r="D29" s="15" t="s">
        <v>383</v>
      </c>
      <c r="E29" s="15" t="s">
        <v>536</v>
      </c>
      <c r="F29" s="6" t="s">
        <v>538</v>
      </c>
      <c r="G29" s="6" t="s">
        <v>374</v>
      </c>
      <c r="H29" s="6" t="s">
        <v>236</v>
      </c>
      <c r="I29" s="61">
        <v>1</v>
      </c>
      <c r="J29" s="77">
        <v>3.3E-3</v>
      </c>
      <c r="K29" s="62">
        <v>49.99</v>
      </c>
      <c r="L29" s="6" t="s">
        <v>540</v>
      </c>
      <c r="M29" s="6" t="s">
        <v>543</v>
      </c>
      <c r="N29" s="64" t="s">
        <v>545</v>
      </c>
      <c r="O29" s="1" t="s">
        <v>256</v>
      </c>
      <c r="P29" s="1">
        <v>0.01</v>
      </c>
      <c r="Q29" s="1">
        <v>0</v>
      </c>
      <c r="R29" s="1">
        <v>0</v>
      </c>
      <c r="S29" s="1">
        <v>0</v>
      </c>
      <c r="T29" s="6" t="s">
        <v>547</v>
      </c>
      <c r="U29" s="66">
        <v>0.9</v>
      </c>
      <c r="V29" s="61">
        <v>3</v>
      </c>
      <c r="W29" s="1">
        <v>10</v>
      </c>
      <c r="X29" s="1">
        <v>61.2</v>
      </c>
    </row>
    <row r="30" spans="1:24" ht="16.5" x14ac:dyDescent="0.2">
      <c r="A30" s="17">
        <v>29</v>
      </c>
      <c r="B30" s="17" t="s">
        <v>20</v>
      </c>
      <c r="C30" s="35" t="s">
        <v>514</v>
      </c>
      <c r="D30" s="20" t="s">
        <v>383</v>
      </c>
      <c r="E30" s="20" t="s">
        <v>536</v>
      </c>
      <c r="F30" s="21" t="s">
        <v>538</v>
      </c>
      <c r="G30" s="21" t="s">
        <v>374</v>
      </c>
      <c r="H30" s="21" t="s">
        <v>236</v>
      </c>
      <c r="I30" s="60">
        <v>1</v>
      </c>
      <c r="J30" s="75">
        <v>3.3E-3</v>
      </c>
      <c r="K30" s="63">
        <v>49.99</v>
      </c>
      <c r="L30" s="21" t="s">
        <v>542</v>
      </c>
      <c r="M30" s="21" t="s">
        <v>543</v>
      </c>
      <c r="N30" s="65" t="s">
        <v>545</v>
      </c>
      <c r="O30" s="17" t="s">
        <v>256</v>
      </c>
      <c r="P30" s="17">
        <v>0.01</v>
      </c>
      <c r="Q30" s="17">
        <v>0</v>
      </c>
      <c r="R30" s="17">
        <v>0</v>
      </c>
      <c r="S30" s="17">
        <v>0</v>
      </c>
      <c r="T30" s="21" t="s">
        <v>547</v>
      </c>
      <c r="U30" s="67">
        <v>0.9</v>
      </c>
      <c r="V30" s="60">
        <v>3</v>
      </c>
      <c r="W30" s="17">
        <v>10</v>
      </c>
      <c r="X30" s="17">
        <v>61.2</v>
      </c>
    </row>
    <row r="31" spans="1:24" ht="16.5" x14ac:dyDescent="0.2">
      <c r="A31" s="1">
        <v>30</v>
      </c>
      <c r="B31" s="1" t="s">
        <v>21</v>
      </c>
      <c r="C31" s="101" t="s">
        <v>515</v>
      </c>
      <c r="D31" s="15" t="s">
        <v>383</v>
      </c>
      <c r="E31" s="15" t="s">
        <v>536</v>
      </c>
      <c r="F31" s="6" t="s">
        <v>538</v>
      </c>
      <c r="G31" s="6" t="s">
        <v>374</v>
      </c>
      <c r="H31" s="6" t="s">
        <v>236</v>
      </c>
      <c r="I31" s="61">
        <v>1</v>
      </c>
      <c r="J31" s="77">
        <v>3.3E-3</v>
      </c>
      <c r="K31" s="62">
        <v>49.99</v>
      </c>
      <c r="L31" s="6" t="s">
        <v>540</v>
      </c>
      <c r="M31" s="6" t="s">
        <v>543</v>
      </c>
      <c r="N31" s="64" t="s">
        <v>545</v>
      </c>
      <c r="O31" s="1" t="s">
        <v>256</v>
      </c>
      <c r="P31" s="1">
        <v>0.01</v>
      </c>
      <c r="Q31" s="1">
        <v>0</v>
      </c>
      <c r="R31" s="1">
        <v>0</v>
      </c>
      <c r="S31" s="1">
        <v>0</v>
      </c>
      <c r="T31" s="6" t="s">
        <v>547</v>
      </c>
      <c r="U31" s="66">
        <v>0.9</v>
      </c>
      <c r="V31" s="61">
        <v>3</v>
      </c>
      <c r="W31" s="1">
        <v>10</v>
      </c>
      <c r="X31" s="1">
        <v>61.2</v>
      </c>
    </row>
    <row r="32" spans="1:24" ht="16.5" x14ac:dyDescent="0.2">
      <c r="A32" s="17">
        <v>31</v>
      </c>
      <c r="B32" s="17" t="s">
        <v>510</v>
      </c>
      <c r="C32" s="35" t="s">
        <v>516</v>
      </c>
      <c r="D32" s="20" t="s">
        <v>383</v>
      </c>
      <c r="E32" s="20" t="s">
        <v>536</v>
      </c>
      <c r="F32" s="21" t="s">
        <v>538</v>
      </c>
      <c r="G32" s="21" t="s">
        <v>374</v>
      </c>
      <c r="H32" s="21" t="s">
        <v>236</v>
      </c>
      <c r="I32" s="60">
        <v>1</v>
      </c>
      <c r="J32" s="75">
        <v>3.3E-3</v>
      </c>
      <c r="K32" s="63">
        <v>49.99</v>
      </c>
      <c r="L32" s="21" t="s">
        <v>540</v>
      </c>
      <c r="M32" s="21" t="s">
        <v>543</v>
      </c>
      <c r="N32" s="65" t="s">
        <v>545</v>
      </c>
      <c r="O32" s="17" t="s">
        <v>256</v>
      </c>
      <c r="P32" s="17">
        <v>0.01</v>
      </c>
      <c r="Q32" s="17">
        <v>0</v>
      </c>
      <c r="R32" s="17">
        <v>0</v>
      </c>
      <c r="S32" s="17">
        <v>0</v>
      </c>
      <c r="T32" s="21" t="s">
        <v>547</v>
      </c>
      <c r="U32" s="67">
        <v>0.9</v>
      </c>
      <c r="V32" s="60">
        <v>3</v>
      </c>
      <c r="W32" s="17">
        <v>10</v>
      </c>
      <c r="X32" s="17">
        <v>61.2</v>
      </c>
    </row>
    <row r="33" spans="1:24" ht="16.5" x14ac:dyDescent="0.2">
      <c r="A33" s="1">
        <v>32</v>
      </c>
      <c r="B33" s="1" t="s">
        <v>22</v>
      </c>
      <c r="C33" s="101" t="s">
        <v>517</v>
      </c>
      <c r="D33" s="15" t="s">
        <v>383</v>
      </c>
      <c r="E33" s="15" t="s">
        <v>536</v>
      </c>
      <c r="F33" s="6" t="s">
        <v>538</v>
      </c>
      <c r="G33" s="6" t="s">
        <v>374</v>
      </c>
      <c r="H33" s="6" t="s">
        <v>236</v>
      </c>
      <c r="I33" s="61">
        <v>1</v>
      </c>
      <c r="J33" s="77">
        <v>3.3E-3</v>
      </c>
      <c r="K33" s="62">
        <v>49.99</v>
      </c>
      <c r="L33" s="6" t="s">
        <v>540</v>
      </c>
      <c r="M33" s="6" t="s">
        <v>543</v>
      </c>
      <c r="N33" s="64" t="s">
        <v>545</v>
      </c>
      <c r="O33" s="1" t="s">
        <v>256</v>
      </c>
      <c r="P33" s="1">
        <v>0.01</v>
      </c>
      <c r="Q33" s="1">
        <v>0</v>
      </c>
      <c r="R33" s="1">
        <v>0</v>
      </c>
      <c r="S33" s="1">
        <v>0</v>
      </c>
      <c r="T33" s="6" t="s">
        <v>547</v>
      </c>
      <c r="U33" s="66">
        <v>0.9</v>
      </c>
      <c r="V33" s="61">
        <v>3</v>
      </c>
      <c r="W33" s="1">
        <v>10</v>
      </c>
      <c r="X33" s="1">
        <v>61.2</v>
      </c>
    </row>
    <row r="34" spans="1:24" ht="16.5" x14ac:dyDescent="0.2">
      <c r="A34" s="17">
        <v>33</v>
      </c>
      <c r="B34" s="17" t="s">
        <v>23</v>
      </c>
      <c r="C34" s="35" t="s">
        <v>518</v>
      </c>
      <c r="D34" s="20" t="s">
        <v>383</v>
      </c>
      <c r="E34" s="20" t="s">
        <v>536</v>
      </c>
      <c r="F34" s="21" t="s">
        <v>538</v>
      </c>
      <c r="G34" s="21" t="s">
        <v>374</v>
      </c>
      <c r="H34" s="21" t="s">
        <v>236</v>
      </c>
      <c r="I34" s="60">
        <v>1</v>
      </c>
      <c r="J34" s="75">
        <v>3.3E-3</v>
      </c>
      <c r="K34" s="63">
        <v>49.99</v>
      </c>
      <c r="L34" s="21" t="s">
        <v>540</v>
      </c>
      <c r="M34" s="21" t="s">
        <v>543</v>
      </c>
      <c r="N34" s="65" t="s">
        <v>545</v>
      </c>
      <c r="O34" s="17" t="s">
        <v>256</v>
      </c>
      <c r="P34" s="17">
        <v>0.01</v>
      </c>
      <c r="Q34" s="17">
        <v>0</v>
      </c>
      <c r="R34" s="17">
        <v>0</v>
      </c>
      <c r="S34" s="17">
        <v>0</v>
      </c>
      <c r="T34" s="21" t="s">
        <v>547</v>
      </c>
      <c r="U34" s="67">
        <v>0.9</v>
      </c>
      <c r="V34" s="60">
        <v>3</v>
      </c>
      <c r="W34" s="17">
        <v>10</v>
      </c>
      <c r="X34" s="17">
        <v>61.2</v>
      </c>
    </row>
    <row r="35" spans="1:24" ht="16.5" x14ac:dyDescent="0.2">
      <c r="A35" s="1">
        <v>34</v>
      </c>
      <c r="B35" s="1" t="s">
        <v>266</v>
      </c>
      <c r="C35" s="101" t="s">
        <v>519</v>
      </c>
      <c r="D35" s="15" t="s">
        <v>383</v>
      </c>
      <c r="E35" s="15" t="s">
        <v>550</v>
      </c>
      <c r="F35" s="6" t="s">
        <v>552</v>
      </c>
      <c r="G35" s="6" t="s">
        <v>374</v>
      </c>
      <c r="H35" s="6" t="s">
        <v>237</v>
      </c>
      <c r="I35" s="61">
        <v>1</v>
      </c>
      <c r="J35" s="77">
        <v>4.7999999999999996E-3</v>
      </c>
      <c r="K35" s="62">
        <v>49.99</v>
      </c>
      <c r="L35" s="6" t="s">
        <v>554</v>
      </c>
      <c r="M35" s="64" t="s">
        <v>556</v>
      </c>
      <c r="N35" s="64" t="s">
        <v>558</v>
      </c>
      <c r="O35" s="1" t="s">
        <v>256</v>
      </c>
      <c r="P35" s="1">
        <v>0.01</v>
      </c>
      <c r="Q35" s="1">
        <v>0</v>
      </c>
      <c r="R35" s="1">
        <v>0</v>
      </c>
      <c r="S35" s="1">
        <v>0</v>
      </c>
      <c r="T35" s="6" t="s">
        <v>560</v>
      </c>
      <c r="U35" s="66">
        <v>1</v>
      </c>
      <c r="V35" s="61">
        <v>3</v>
      </c>
      <c r="W35" s="1">
        <v>10</v>
      </c>
      <c r="X35" s="1" t="s">
        <v>327</v>
      </c>
    </row>
    <row r="36" spans="1:24" ht="16.5" x14ac:dyDescent="0.2">
      <c r="A36" s="17">
        <v>35</v>
      </c>
      <c r="B36" s="17" t="s">
        <v>265</v>
      </c>
      <c r="C36" s="35" t="s">
        <v>520</v>
      </c>
      <c r="D36" s="20" t="s">
        <v>383</v>
      </c>
      <c r="E36" s="20" t="s">
        <v>550</v>
      </c>
      <c r="F36" s="21" t="s">
        <v>552</v>
      </c>
      <c r="G36" s="21" t="s">
        <v>374</v>
      </c>
      <c r="H36" s="21" t="s">
        <v>237</v>
      </c>
      <c r="I36" s="60">
        <v>1</v>
      </c>
      <c r="J36" s="75">
        <v>4.7999999999999996E-3</v>
      </c>
      <c r="K36" s="63">
        <v>49.99</v>
      </c>
      <c r="L36" s="21" t="s">
        <v>554</v>
      </c>
      <c r="M36" s="65" t="s">
        <v>556</v>
      </c>
      <c r="N36" s="65" t="s">
        <v>558</v>
      </c>
      <c r="O36" s="17" t="s">
        <v>256</v>
      </c>
      <c r="P36" s="17">
        <v>0.01</v>
      </c>
      <c r="Q36" s="17">
        <v>0</v>
      </c>
      <c r="R36" s="17">
        <v>0</v>
      </c>
      <c r="S36" s="17">
        <v>0</v>
      </c>
      <c r="T36" s="21" t="s">
        <v>560</v>
      </c>
      <c r="U36" s="67">
        <v>1</v>
      </c>
      <c r="V36" s="60">
        <v>3</v>
      </c>
      <c r="W36" s="17">
        <v>10</v>
      </c>
      <c r="X36" s="17" t="s">
        <v>327</v>
      </c>
    </row>
    <row r="37" spans="1:24" ht="16.5" x14ac:dyDescent="0.2">
      <c r="A37" s="1">
        <v>36</v>
      </c>
      <c r="B37" s="1" t="s">
        <v>261</v>
      </c>
      <c r="C37" s="101" t="s">
        <v>521</v>
      </c>
      <c r="D37" s="15" t="s">
        <v>383</v>
      </c>
      <c r="E37" s="15" t="s">
        <v>549</v>
      </c>
      <c r="F37" s="6" t="s">
        <v>551</v>
      </c>
      <c r="G37" s="6" t="s">
        <v>374</v>
      </c>
      <c r="H37" s="6" t="s">
        <v>236</v>
      </c>
      <c r="I37" s="61">
        <v>1</v>
      </c>
      <c r="J37" s="77">
        <v>4.7999999999999996E-3</v>
      </c>
      <c r="K37" s="62">
        <v>49.99</v>
      </c>
      <c r="L37" s="6" t="s">
        <v>553</v>
      </c>
      <c r="M37" s="64" t="s">
        <v>555</v>
      </c>
      <c r="N37" s="64" t="s">
        <v>557</v>
      </c>
      <c r="O37" s="1" t="s">
        <v>256</v>
      </c>
      <c r="P37" s="1">
        <v>0.01</v>
      </c>
      <c r="Q37" s="1">
        <v>0</v>
      </c>
      <c r="R37" s="1">
        <v>0</v>
      </c>
      <c r="S37" s="1">
        <v>0</v>
      </c>
      <c r="T37" s="6" t="s">
        <v>559</v>
      </c>
      <c r="U37" s="66">
        <v>1</v>
      </c>
      <c r="V37" s="61">
        <v>3</v>
      </c>
      <c r="W37" s="1">
        <v>10</v>
      </c>
      <c r="X37" s="1" t="s">
        <v>327</v>
      </c>
    </row>
    <row r="38" spans="1:24" ht="16.5" x14ac:dyDescent="0.2">
      <c r="A38" s="17">
        <v>37</v>
      </c>
      <c r="B38" s="17" t="s">
        <v>262</v>
      </c>
      <c r="C38" s="35" t="s">
        <v>522</v>
      </c>
      <c r="D38" s="20" t="s">
        <v>383</v>
      </c>
      <c r="E38" s="20" t="s">
        <v>549</v>
      </c>
      <c r="F38" s="21" t="s">
        <v>551</v>
      </c>
      <c r="G38" s="21" t="s">
        <v>374</v>
      </c>
      <c r="H38" s="21" t="s">
        <v>236</v>
      </c>
      <c r="I38" s="60">
        <v>1</v>
      </c>
      <c r="J38" s="75">
        <v>4.7999999999999996E-3</v>
      </c>
      <c r="K38" s="63">
        <v>49.99</v>
      </c>
      <c r="L38" s="21" t="s">
        <v>553</v>
      </c>
      <c r="M38" s="65" t="s">
        <v>555</v>
      </c>
      <c r="N38" s="65" t="s">
        <v>557</v>
      </c>
      <c r="O38" s="17" t="s">
        <v>256</v>
      </c>
      <c r="P38" s="17">
        <v>0.01</v>
      </c>
      <c r="Q38" s="17">
        <v>0</v>
      </c>
      <c r="R38" s="17">
        <v>0</v>
      </c>
      <c r="S38" s="17">
        <v>0</v>
      </c>
      <c r="T38" s="21" t="s">
        <v>559</v>
      </c>
      <c r="U38" s="67">
        <v>1</v>
      </c>
      <c r="V38" s="60">
        <v>3</v>
      </c>
      <c r="W38" s="17">
        <v>10</v>
      </c>
      <c r="X38" s="17" t="s">
        <v>327</v>
      </c>
    </row>
    <row r="39" spans="1:24" ht="16.5" x14ac:dyDescent="0.2">
      <c r="A39" s="1">
        <v>38</v>
      </c>
      <c r="B39" s="1" t="s">
        <v>263</v>
      </c>
      <c r="C39" s="101" t="s">
        <v>523</v>
      </c>
      <c r="D39" s="15" t="s">
        <v>383</v>
      </c>
      <c r="E39" s="15" t="s">
        <v>549</v>
      </c>
      <c r="F39" s="6" t="s">
        <v>551</v>
      </c>
      <c r="G39" s="6" t="s">
        <v>374</v>
      </c>
      <c r="H39" s="6" t="s">
        <v>236</v>
      </c>
      <c r="I39" s="61">
        <v>1</v>
      </c>
      <c r="J39" s="77">
        <v>4.7999999999999996E-3</v>
      </c>
      <c r="K39" s="62">
        <v>49.99</v>
      </c>
      <c r="L39" s="6" t="s">
        <v>553</v>
      </c>
      <c r="M39" s="64" t="s">
        <v>555</v>
      </c>
      <c r="N39" s="64" t="s">
        <v>557</v>
      </c>
      <c r="O39" s="1" t="s">
        <v>256</v>
      </c>
      <c r="P39" s="1">
        <v>0.01</v>
      </c>
      <c r="Q39" s="1">
        <v>0</v>
      </c>
      <c r="R39" s="1">
        <v>0</v>
      </c>
      <c r="S39" s="1">
        <v>0</v>
      </c>
      <c r="T39" s="6" t="s">
        <v>559</v>
      </c>
      <c r="U39" s="66">
        <v>1</v>
      </c>
      <c r="V39" s="61">
        <v>3</v>
      </c>
      <c r="W39" s="1">
        <v>10</v>
      </c>
      <c r="X39" s="1" t="s">
        <v>327</v>
      </c>
    </row>
    <row r="40" spans="1:24" ht="16.5" x14ac:dyDescent="0.2">
      <c r="A40" s="17">
        <v>39</v>
      </c>
      <c r="B40" s="17" t="s">
        <v>264</v>
      </c>
      <c r="C40" s="35" t="s">
        <v>524</v>
      </c>
      <c r="D40" s="20" t="s">
        <v>383</v>
      </c>
      <c r="E40" s="20" t="s">
        <v>549</v>
      </c>
      <c r="F40" s="21" t="s">
        <v>551</v>
      </c>
      <c r="G40" s="21" t="s">
        <v>374</v>
      </c>
      <c r="H40" s="21" t="s">
        <v>236</v>
      </c>
      <c r="I40" s="60">
        <v>1</v>
      </c>
      <c r="J40" s="75">
        <v>4.7999999999999996E-3</v>
      </c>
      <c r="K40" s="63">
        <v>49.99</v>
      </c>
      <c r="L40" s="21" t="s">
        <v>553</v>
      </c>
      <c r="M40" s="65" t="s">
        <v>555</v>
      </c>
      <c r="N40" s="65" t="s">
        <v>557</v>
      </c>
      <c r="O40" s="17" t="s">
        <v>256</v>
      </c>
      <c r="P40" s="17">
        <v>0.01</v>
      </c>
      <c r="Q40" s="17">
        <v>0</v>
      </c>
      <c r="R40" s="17">
        <v>0</v>
      </c>
      <c r="S40" s="17">
        <v>0</v>
      </c>
      <c r="T40" s="21" t="s">
        <v>559</v>
      </c>
      <c r="U40" s="67">
        <v>1</v>
      </c>
      <c r="V40" s="60">
        <v>3</v>
      </c>
      <c r="W40" s="17">
        <v>10</v>
      </c>
      <c r="X40" s="17" t="s">
        <v>327</v>
      </c>
    </row>
    <row r="41" spans="1:24" ht="16.5" x14ac:dyDescent="0.2">
      <c r="E41" s="44" t="s">
        <v>234</v>
      </c>
      <c r="F41" s="44" t="s">
        <v>235</v>
      </c>
      <c r="G41" s="55"/>
      <c r="L41" s="43" t="s">
        <v>156</v>
      </c>
      <c r="M41" s="45" t="s">
        <v>258</v>
      </c>
      <c r="N41" s="45" t="s">
        <v>246</v>
      </c>
      <c r="O41" s="45" t="s">
        <v>246</v>
      </c>
      <c r="P41" s="45" t="s">
        <v>259</v>
      </c>
      <c r="R41" s="45" t="s">
        <v>249</v>
      </c>
      <c r="S41" s="45"/>
      <c r="T41" s="45" t="s">
        <v>234</v>
      </c>
      <c r="W41" s="68">
        <v>1.25</v>
      </c>
      <c r="X41" s="68"/>
    </row>
    <row r="49" spans="3:3" x14ac:dyDescent="0.2">
      <c r="C49" s="82"/>
    </row>
    <row r="52" spans="3:3" x14ac:dyDescent="0.2">
      <c r="C52" s="8"/>
    </row>
    <row r="53" spans="3:3" x14ac:dyDescent="0.2">
      <c r="C53" s="8"/>
    </row>
  </sheetData>
  <phoneticPr fontId="25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6"/>
  <sheetViews>
    <sheetView topLeftCell="F1" zoomScale="80" zoomScaleNormal="80" workbookViewId="0">
      <pane ySplit="1" topLeftCell="A2" activePane="bottomLeft" state="frozen"/>
      <selection pane="bottomLeft" activeCell="A8" sqref="A8:XFD11"/>
    </sheetView>
  </sheetViews>
  <sheetFormatPr defaultColWidth="9" defaultRowHeight="14.25" x14ac:dyDescent="0.2"/>
  <cols>
    <col min="1" max="1" width="6.375" style="8" customWidth="1"/>
    <col min="2" max="2" width="28.5" style="8" bestFit="1" customWidth="1"/>
    <col min="3" max="3" width="48.75" style="8" customWidth="1"/>
    <col min="4" max="4" width="10.75" style="8" bestFit="1" customWidth="1"/>
    <col min="5" max="5" width="10.75" style="8" customWidth="1"/>
    <col min="6" max="6" width="8.5" style="8" customWidth="1"/>
    <col min="7" max="7" width="8.5" style="8" bestFit="1" customWidth="1"/>
    <col min="8" max="8" width="8.625" style="8" customWidth="1"/>
    <col min="9" max="9" width="11.375" style="8" bestFit="1" customWidth="1"/>
    <col min="10" max="11" width="8" style="8" bestFit="1" customWidth="1"/>
    <col min="12" max="12" width="10.75" style="8" customWidth="1"/>
    <col min="13" max="13" width="24.375" style="8" bestFit="1" customWidth="1"/>
    <col min="14" max="14" width="11.25" style="8" customWidth="1"/>
    <col min="15" max="15" width="16.25" style="8" customWidth="1"/>
    <col min="16" max="16" width="16" style="8" customWidth="1"/>
    <col min="17" max="17" width="12.25" style="8" customWidth="1"/>
    <col min="18" max="18" width="23.5" style="8" customWidth="1"/>
    <col min="19" max="19" width="10.5" style="8" customWidth="1"/>
    <col min="20" max="20" width="11.25" style="8" customWidth="1"/>
    <col min="21" max="21" width="19" style="8" customWidth="1"/>
    <col min="22" max="22" width="11.625" style="8" customWidth="1"/>
    <col min="23" max="23" width="49.375" style="8" customWidth="1"/>
    <col min="24" max="24" width="6.375" style="8" bestFit="1" customWidth="1"/>
    <col min="25" max="25" width="4.625" style="8" bestFit="1" customWidth="1"/>
    <col min="26" max="26" width="16.125" style="8" bestFit="1" customWidth="1"/>
    <col min="27" max="27" width="6.375" style="8" bestFit="1" customWidth="1"/>
    <col min="28" max="16384" width="9" style="8"/>
  </cols>
  <sheetData>
    <row r="1" spans="1:27" ht="18" x14ac:dyDescent="0.2">
      <c r="A1" s="24" t="s">
        <v>0</v>
      </c>
      <c r="B1" s="25" t="s">
        <v>1</v>
      </c>
      <c r="C1" s="25" t="s">
        <v>2</v>
      </c>
      <c r="D1" s="25" t="s">
        <v>44</v>
      </c>
      <c r="E1" s="25" t="s">
        <v>45</v>
      </c>
      <c r="F1" s="25" t="s">
        <v>217</v>
      </c>
      <c r="G1" s="25" t="s">
        <v>43</v>
      </c>
      <c r="H1" s="25" t="s">
        <v>3</v>
      </c>
      <c r="I1" s="25" t="s">
        <v>4</v>
      </c>
      <c r="J1" s="25" t="s">
        <v>132</v>
      </c>
      <c r="K1" s="25" t="s">
        <v>5</v>
      </c>
      <c r="L1" s="25" t="s">
        <v>47</v>
      </c>
      <c r="M1" s="25" t="s">
        <v>6</v>
      </c>
      <c r="N1" s="25" t="s">
        <v>497</v>
      </c>
      <c r="O1" s="25" t="s">
        <v>158</v>
      </c>
      <c r="P1" s="25" t="s">
        <v>159</v>
      </c>
      <c r="Q1" s="25" t="s">
        <v>7</v>
      </c>
      <c r="R1" s="25" t="s">
        <v>8</v>
      </c>
      <c r="S1" s="25" t="s">
        <v>25</v>
      </c>
      <c r="T1" s="26" t="s">
        <v>9</v>
      </c>
      <c r="U1" s="27" t="s">
        <v>50</v>
      </c>
      <c r="V1" s="26" t="s">
        <v>10</v>
      </c>
      <c r="W1" s="28" t="s">
        <v>11</v>
      </c>
      <c r="X1" s="30" t="s">
        <v>124</v>
      </c>
      <c r="Y1" s="30" t="s">
        <v>131</v>
      </c>
      <c r="Z1" s="30" t="s">
        <v>126</v>
      </c>
      <c r="AA1" s="30" t="s">
        <v>128</v>
      </c>
    </row>
    <row r="2" spans="1:27" s="13" customFormat="1" ht="31.15" customHeight="1" x14ac:dyDescent="0.2">
      <c r="A2" s="33">
        <v>1</v>
      </c>
      <c r="B2" s="33" t="s">
        <v>581</v>
      </c>
      <c r="C2" s="32" t="s">
        <v>76</v>
      </c>
      <c r="D2" s="33">
        <v>1</v>
      </c>
      <c r="E2" s="33">
        <v>4</v>
      </c>
      <c r="F2" s="33" t="s">
        <v>218</v>
      </c>
      <c r="G2" s="33" t="s">
        <v>54</v>
      </c>
      <c r="H2" s="36" t="s">
        <v>54</v>
      </c>
      <c r="I2" s="33" t="s">
        <v>231</v>
      </c>
      <c r="J2" s="36" t="s">
        <v>57</v>
      </c>
      <c r="K2" s="36" t="s">
        <v>57</v>
      </c>
      <c r="L2" s="33" t="s">
        <v>36</v>
      </c>
      <c r="M2" s="17" t="s">
        <v>694</v>
      </c>
      <c r="N2" s="74">
        <v>0.96850000000000003</v>
      </c>
      <c r="O2" s="37" t="s">
        <v>670</v>
      </c>
      <c r="P2" s="37" t="s">
        <v>606</v>
      </c>
      <c r="Q2" s="33" t="s">
        <v>71</v>
      </c>
      <c r="R2" s="33" t="s">
        <v>221</v>
      </c>
      <c r="S2" s="36" t="s">
        <v>48</v>
      </c>
      <c r="T2" s="36" t="s">
        <v>53</v>
      </c>
      <c r="U2" s="33" t="s">
        <v>896</v>
      </c>
      <c r="V2" s="36" t="s">
        <v>58</v>
      </c>
      <c r="W2" s="34" t="s">
        <v>695</v>
      </c>
      <c r="X2" s="42" t="s">
        <v>125</v>
      </c>
      <c r="Y2" s="42"/>
      <c r="Z2" s="42" t="s">
        <v>125</v>
      </c>
      <c r="AA2" s="42"/>
    </row>
    <row r="3" spans="1:27" s="13" customFormat="1" ht="31.15" customHeight="1" x14ac:dyDescent="0.2">
      <c r="A3" s="4">
        <v>2</v>
      </c>
      <c r="B3" s="4" t="s">
        <v>580</v>
      </c>
      <c r="C3" s="3" t="s">
        <v>665</v>
      </c>
      <c r="D3" s="4">
        <v>1</v>
      </c>
      <c r="E3" s="4">
        <v>4</v>
      </c>
      <c r="F3" s="4" t="s">
        <v>218</v>
      </c>
      <c r="G3" s="4" t="s">
        <v>54</v>
      </c>
      <c r="H3" s="89" t="s">
        <v>54</v>
      </c>
      <c r="I3" s="4" t="s">
        <v>231</v>
      </c>
      <c r="J3" s="89" t="s">
        <v>57</v>
      </c>
      <c r="K3" s="89" t="s">
        <v>57</v>
      </c>
      <c r="L3" s="4" t="s">
        <v>36</v>
      </c>
      <c r="M3" s="1" t="s">
        <v>694</v>
      </c>
      <c r="N3" s="76">
        <v>0.96850000000000003</v>
      </c>
      <c r="O3" s="9" t="s">
        <v>670</v>
      </c>
      <c r="P3" s="9" t="s">
        <v>606</v>
      </c>
      <c r="Q3" s="4" t="s">
        <v>71</v>
      </c>
      <c r="R3" s="4" t="s">
        <v>221</v>
      </c>
      <c r="S3" s="89" t="s">
        <v>48</v>
      </c>
      <c r="T3" s="4" t="s">
        <v>60</v>
      </c>
      <c r="U3" s="4" t="s">
        <v>55</v>
      </c>
      <c r="V3" s="89" t="s">
        <v>58</v>
      </c>
      <c r="W3" s="3" t="s">
        <v>56</v>
      </c>
      <c r="X3" s="56" t="s">
        <v>125</v>
      </c>
      <c r="Y3" s="56"/>
      <c r="Z3" s="56" t="s">
        <v>125</v>
      </c>
      <c r="AA3" s="56"/>
    </row>
    <row r="4" spans="1:27" ht="31.15" customHeight="1" x14ac:dyDescent="0.2">
      <c r="A4" s="33">
        <v>3</v>
      </c>
      <c r="B4" s="33" t="s">
        <v>579</v>
      </c>
      <c r="C4" s="34" t="s">
        <v>656</v>
      </c>
      <c r="D4" s="33">
        <v>1</v>
      </c>
      <c r="E4" s="33">
        <v>4</v>
      </c>
      <c r="F4" s="33" t="s">
        <v>218</v>
      </c>
      <c r="G4" s="33" t="s">
        <v>54</v>
      </c>
      <c r="H4" s="36" t="s">
        <v>54</v>
      </c>
      <c r="I4" s="33" t="s">
        <v>231</v>
      </c>
      <c r="J4" s="36" t="s">
        <v>57</v>
      </c>
      <c r="K4" s="36" t="s">
        <v>57</v>
      </c>
      <c r="L4" s="33" t="s">
        <v>36</v>
      </c>
      <c r="M4" s="17" t="s">
        <v>694</v>
      </c>
      <c r="N4" s="74">
        <v>0.96850000000000003</v>
      </c>
      <c r="O4" s="37" t="s">
        <v>670</v>
      </c>
      <c r="P4" s="37" t="s">
        <v>606</v>
      </c>
      <c r="Q4" s="33" t="s">
        <v>71</v>
      </c>
      <c r="R4" s="33" t="s">
        <v>221</v>
      </c>
      <c r="S4" s="36" t="s">
        <v>48</v>
      </c>
      <c r="T4" s="33" t="s">
        <v>60</v>
      </c>
      <c r="U4" s="33" t="s">
        <v>55</v>
      </c>
      <c r="V4" s="36" t="s">
        <v>58</v>
      </c>
      <c r="W4" s="34" t="s">
        <v>56</v>
      </c>
      <c r="X4" s="42" t="s">
        <v>125</v>
      </c>
      <c r="Y4" s="42" t="s">
        <v>125</v>
      </c>
      <c r="Z4" s="42" t="s">
        <v>125</v>
      </c>
      <c r="AA4" s="42"/>
    </row>
    <row r="5" spans="1:27" ht="31.15" customHeight="1" x14ac:dyDescent="0.2">
      <c r="A5" s="4">
        <v>4</v>
      </c>
      <c r="B5" s="4" t="s">
        <v>578</v>
      </c>
      <c r="C5" s="3" t="s">
        <v>666</v>
      </c>
      <c r="D5" s="4">
        <v>1</v>
      </c>
      <c r="E5" s="4">
        <v>4</v>
      </c>
      <c r="F5" s="4" t="s">
        <v>218</v>
      </c>
      <c r="G5" s="4" t="s">
        <v>54</v>
      </c>
      <c r="H5" s="89" t="s">
        <v>54</v>
      </c>
      <c r="I5" s="4" t="s">
        <v>231</v>
      </c>
      <c r="J5" s="89" t="s">
        <v>57</v>
      </c>
      <c r="K5" s="89" t="s">
        <v>57</v>
      </c>
      <c r="L5" s="4" t="s">
        <v>36</v>
      </c>
      <c r="M5" s="1" t="s">
        <v>694</v>
      </c>
      <c r="N5" s="76">
        <v>0.96850000000000003</v>
      </c>
      <c r="O5" s="9" t="s">
        <v>670</v>
      </c>
      <c r="P5" s="9" t="s">
        <v>606</v>
      </c>
      <c r="Q5" s="4" t="s">
        <v>71</v>
      </c>
      <c r="R5" s="4" t="s">
        <v>221</v>
      </c>
      <c r="S5" s="4" t="s">
        <v>679</v>
      </c>
      <c r="T5" s="4" t="s">
        <v>60</v>
      </c>
      <c r="U5" s="4" t="s">
        <v>51</v>
      </c>
      <c r="V5" s="89" t="s">
        <v>58</v>
      </c>
      <c r="W5" s="3" t="s">
        <v>56</v>
      </c>
      <c r="X5" s="56" t="s">
        <v>125</v>
      </c>
      <c r="Y5" s="56"/>
      <c r="Z5" s="56" t="s">
        <v>125</v>
      </c>
      <c r="AA5" s="56"/>
    </row>
    <row r="6" spans="1:27" ht="31.15" customHeight="1" x14ac:dyDescent="0.2">
      <c r="A6" s="33">
        <v>5</v>
      </c>
      <c r="B6" s="33" t="s">
        <v>577</v>
      </c>
      <c r="C6" s="34" t="s">
        <v>657</v>
      </c>
      <c r="D6" s="33">
        <v>1</v>
      </c>
      <c r="E6" s="33">
        <v>4</v>
      </c>
      <c r="F6" s="33" t="s">
        <v>218</v>
      </c>
      <c r="G6" s="33" t="s">
        <v>54</v>
      </c>
      <c r="H6" s="36" t="s">
        <v>54</v>
      </c>
      <c r="I6" s="33" t="s">
        <v>231</v>
      </c>
      <c r="J6" s="36" t="s">
        <v>57</v>
      </c>
      <c r="K6" s="36" t="s">
        <v>57</v>
      </c>
      <c r="L6" s="33" t="s">
        <v>36</v>
      </c>
      <c r="M6" s="17" t="s">
        <v>694</v>
      </c>
      <c r="N6" s="74">
        <v>0.96850000000000003</v>
      </c>
      <c r="O6" s="37" t="s">
        <v>670</v>
      </c>
      <c r="P6" s="37" t="s">
        <v>606</v>
      </c>
      <c r="Q6" s="33" t="s">
        <v>71</v>
      </c>
      <c r="R6" s="33" t="s">
        <v>221</v>
      </c>
      <c r="S6" s="33" t="s">
        <v>679</v>
      </c>
      <c r="T6" s="33" t="s">
        <v>60</v>
      </c>
      <c r="U6" s="33" t="s">
        <v>51</v>
      </c>
      <c r="V6" s="36" t="s">
        <v>58</v>
      </c>
      <c r="W6" s="34" t="s">
        <v>56</v>
      </c>
      <c r="X6" s="42" t="s">
        <v>125</v>
      </c>
      <c r="Y6" s="42"/>
      <c r="Z6" s="42" t="s">
        <v>125</v>
      </c>
      <c r="AA6" s="42"/>
    </row>
    <row r="7" spans="1:27" s="14" customFormat="1" ht="33" x14ac:dyDescent="0.2">
      <c r="A7" s="4">
        <v>6</v>
      </c>
      <c r="B7" s="4" t="s">
        <v>576</v>
      </c>
      <c r="C7" s="87" t="s">
        <v>59</v>
      </c>
      <c r="D7" s="4">
        <v>1</v>
      </c>
      <c r="E7" s="4">
        <v>4</v>
      </c>
      <c r="F7" s="4" t="s">
        <v>218</v>
      </c>
      <c r="G7" s="4" t="s">
        <v>54</v>
      </c>
      <c r="H7" s="89" t="s">
        <v>54</v>
      </c>
      <c r="I7" s="4" t="s">
        <v>82</v>
      </c>
      <c r="J7" s="89" t="s">
        <v>57</v>
      </c>
      <c r="K7" s="89" t="s">
        <v>57</v>
      </c>
      <c r="L7" s="4" t="s">
        <v>46</v>
      </c>
      <c r="M7" s="1" t="s">
        <v>694</v>
      </c>
      <c r="N7" s="76">
        <v>0.96899999999999997</v>
      </c>
      <c r="O7" s="9" t="s">
        <v>670</v>
      </c>
      <c r="P7" s="9" t="s">
        <v>606</v>
      </c>
      <c r="Q7" s="4" t="s">
        <v>71</v>
      </c>
      <c r="R7" s="4" t="s">
        <v>221</v>
      </c>
      <c r="S7" s="4" t="s">
        <v>680</v>
      </c>
      <c r="T7" s="4" t="s">
        <v>60</v>
      </c>
      <c r="U7" s="4" t="s">
        <v>337</v>
      </c>
      <c r="V7" s="89" t="s">
        <v>58</v>
      </c>
      <c r="W7" s="3" t="s">
        <v>56</v>
      </c>
      <c r="X7" s="56" t="s">
        <v>125</v>
      </c>
      <c r="Y7" s="56" t="s">
        <v>125</v>
      </c>
      <c r="Z7" s="56" t="s">
        <v>125</v>
      </c>
      <c r="AA7" s="56"/>
    </row>
    <row r="8" spans="1:27" s="14" customFormat="1" ht="31.15" customHeight="1" x14ac:dyDescent="0.2">
      <c r="A8" s="33">
        <v>7</v>
      </c>
      <c r="B8" s="33" t="s">
        <v>584</v>
      </c>
      <c r="C8" s="34" t="s">
        <v>668</v>
      </c>
      <c r="D8" s="33">
        <v>1</v>
      </c>
      <c r="E8" s="33">
        <v>4</v>
      </c>
      <c r="F8" s="33" t="s">
        <v>218</v>
      </c>
      <c r="G8" s="33" t="s">
        <v>54</v>
      </c>
      <c r="H8" s="36" t="s">
        <v>54</v>
      </c>
      <c r="I8" s="33" t="s">
        <v>82</v>
      </c>
      <c r="J8" s="36" t="s">
        <v>57</v>
      </c>
      <c r="K8" s="36" t="s">
        <v>57</v>
      </c>
      <c r="L8" s="33" t="s">
        <v>46</v>
      </c>
      <c r="M8" s="17" t="s">
        <v>694</v>
      </c>
      <c r="N8" s="74">
        <v>0.96699999999999997</v>
      </c>
      <c r="O8" s="37" t="s">
        <v>671</v>
      </c>
      <c r="P8" s="37" t="s">
        <v>675</v>
      </c>
      <c r="Q8" s="33" t="s">
        <v>71</v>
      </c>
      <c r="R8" s="33" t="s">
        <v>221</v>
      </c>
      <c r="S8" s="33" t="s">
        <v>48</v>
      </c>
      <c r="T8" s="33" t="s">
        <v>60</v>
      </c>
      <c r="U8" s="33" t="s">
        <v>55</v>
      </c>
      <c r="V8" s="36" t="s">
        <v>58</v>
      </c>
      <c r="W8" s="32" t="s">
        <v>56</v>
      </c>
      <c r="X8" s="42" t="s">
        <v>125</v>
      </c>
      <c r="Y8" s="42" t="s">
        <v>125</v>
      </c>
      <c r="Z8" s="42" t="s">
        <v>125</v>
      </c>
      <c r="AA8" s="42"/>
    </row>
    <row r="9" spans="1:27" s="14" customFormat="1" ht="31.15" customHeight="1" x14ac:dyDescent="0.2">
      <c r="A9" s="4">
        <v>8</v>
      </c>
      <c r="B9" s="4" t="s">
        <v>587</v>
      </c>
      <c r="C9" s="3" t="s">
        <v>658</v>
      </c>
      <c r="D9" s="4">
        <v>1</v>
      </c>
      <c r="E9" s="4">
        <v>4</v>
      </c>
      <c r="F9" s="4" t="s">
        <v>218</v>
      </c>
      <c r="G9" s="4" t="s">
        <v>54</v>
      </c>
      <c r="H9" s="89" t="s">
        <v>54</v>
      </c>
      <c r="I9" s="4" t="s">
        <v>231</v>
      </c>
      <c r="J9" s="89" t="s">
        <v>57</v>
      </c>
      <c r="K9" s="89" t="s">
        <v>57</v>
      </c>
      <c r="L9" s="4" t="s">
        <v>36</v>
      </c>
      <c r="M9" s="1" t="s">
        <v>694</v>
      </c>
      <c r="N9" s="76">
        <v>0.96699999999999997</v>
      </c>
      <c r="O9" s="9" t="s">
        <v>671</v>
      </c>
      <c r="P9" s="9" t="s">
        <v>675</v>
      </c>
      <c r="Q9" s="4" t="s">
        <v>71</v>
      </c>
      <c r="R9" s="4" t="s">
        <v>221</v>
      </c>
      <c r="S9" s="4" t="s">
        <v>48</v>
      </c>
      <c r="T9" s="4" t="s">
        <v>60</v>
      </c>
      <c r="U9" s="4" t="s">
        <v>55</v>
      </c>
      <c r="V9" s="89" t="s">
        <v>58</v>
      </c>
      <c r="W9" s="2" t="s">
        <v>56</v>
      </c>
      <c r="X9" s="56" t="s">
        <v>125</v>
      </c>
      <c r="Y9" s="56"/>
      <c r="Z9" s="56" t="s">
        <v>125</v>
      </c>
      <c r="AA9" s="56"/>
    </row>
    <row r="10" spans="1:27" s="14" customFormat="1" ht="31.15" customHeight="1" x14ac:dyDescent="0.2">
      <c r="A10" s="33">
        <v>9</v>
      </c>
      <c r="B10" s="33" t="s">
        <v>588</v>
      </c>
      <c r="C10" s="34" t="s">
        <v>667</v>
      </c>
      <c r="D10" s="33">
        <v>1</v>
      </c>
      <c r="E10" s="33">
        <v>4</v>
      </c>
      <c r="F10" s="33" t="s">
        <v>218</v>
      </c>
      <c r="G10" s="33" t="s">
        <v>54</v>
      </c>
      <c r="H10" s="36" t="s">
        <v>54</v>
      </c>
      <c r="I10" s="33" t="s">
        <v>231</v>
      </c>
      <c r="J10" s="36" t="s">
        <v>57</v>
      </c>
      <c r="K10" s="36" t="s">
        <v>57</v>
      </c>
      <c r="L10" s="33" t="s">
        <v>36</v>
      </c>
      <c r="M10" s="17" t="s">
        <v>694</v>
      </c>
      <c r="N10" s="74">
        <v>0.96699999999999997</v>
      </c>
      <c r="O10" s="37" t="s">
        <v>671</v>
      </c>
      <c r="P10" s="37" t="s">
        <v>675</v>
      </c>
      <c r="Q10" s="33" t="s">
        <v>71</v>
      </c>
      <c r="R10" s="33" t="s">
        <v>221</v>
      </c>
      <c r="S10" s="33" t="s">
        <v>679</v>
      </c>
      <c r="T10" s="33" t="s">
        <v>60</v>
      </c>
      <c r="U10" s="33" t="s">
        <v>51</v>
      </c>
      <c r="V10" s="36" t="s">
        <v>58</v>
      </c>
      <c r="W10" s="32" t="s">
        <v>56</v>
      </c>
      <c r="X10" s="42" t="s">
        <v>125</v>
      </c>
      <c r="Y10" s="42"/>
      <c r="Z10" s="42" t="s">
        <v>125</v>
      </c>
      <c r="AA10" s="42"/>
    </row>
    <row r="11" spans="1:27" s="14" customFormat="1" ht="31.15" customHeight="1" x14ac:dyDescent="0.2">
      <c r="A11" s="4">
        <v>10</v>
      </c>
      <c r="B11" s="4" t="s">
        <v>589</v>
      </c>
      <c r="C11" s="3" t="s">
        <v>660</v>
      </c>
      <c r="D11" s="4">
        <v>1</v>
      </c>
      <c r="E11" s="4">
        <v>4</v>
      </c>
      <c r="F11" s="4" t="s">
        <v>218</v>
      </c>
      <c r="G11" s="4" t="s">
        <v>54</v>
      </c>
      <c r="H11" s="89" t="s">
        <v>54</v>
      </c>
      <c r="I11" s="4" t="s">
        <v>231</v>
      </c>
      <c r="J11" s="89" t="s">
        <v>57</v>
      </c>
      <c r="K11" s="89" t="s">
        <v>57</v>
      </c>
      <c r="L11" s="4" t="s">
        <v>36</v>
      </c>
      <c r="M11" s="1" t="s">
        <v>694</v>
      </c>
      <c r="N11" s="76">
        <v>0.96699999999999997</v>
      </c>
      <c r="O11" s="9" t="s">
        <v>671</v>
      </c>
      <c r="P11" s="9" t="s">
        <v>675</v>
      </c>
      <c r="Q11" s="4" t="s">
        <v>71</v>
      </c>
      <c r="R11" s="4" t="s">
        <v>221</v>
      </c>
      <c r="S11" s="4" t="s">
        <v>679</v>
      </c>
      <c r="T11" s="4" t="s">
        <v>60</v>
      </c>
      <c r="U11" s="4" t="s">
        <v>51</v>
      </c>
      <c r="V11" s="89" t="s">
        <v>58</v>
      </c>
      <c r="W11" s="2" t="s">
        <v>56</v>
      </c>
      <c r="X11" s="56" t="s">
        <v>125</v>
      </c>
      <c r="Y11" s="56"/>
      <c r="Z11" s="56" t="s">
        <v>125</v>
      </c>
      <c r="AA11" s="56"/>
    </row>
    <row r="12" spans="1:27" ht="33" x14ac:dyDescent="0.2">
      <c r="A12" s="33">
        <v>11</v>
      </c>
      <c r="B12" s="33" t="s">
        <v>590</v>
      </c>
      <c r="C12" s="34" t="s">
        <v>334</v>
      </c>
      <c r="D12" s="33">
        <v>1</v>
      </c>
      <c r="E12" s="33">
        <v>4</v>
      </c>
      <c r="F12" s="33" t="s">
        <v>218</v>
      </c>
      <c r="G12" s="33" t="s">
        <v>54</v>
      </c>
      <c r="H12" s="36" t="s">
        <v>54</v>
      </c>
      <c r="I12" s="33" t="s">
        <v>82</v>
      </c>
      <c r="J12" s="36" t="s">
        <v>57</v>
      </c>
      <c r="K12" s="36" t="s">
        <v>57</v>
      </c>
      <c r="L12" s="36" t="s">
        <v>49</v>
      </c>
      <c r="M12" s="17" t="s">
        <v>694</v>
      </c>
      <c r="N12" s="74">
        <v>0.97099999999999997</v>
      </c>
      <c r="O12" s="37" t="s">
        <v>673</v>
      </c>
      <c r="P12" s="37" t="s">
        <v>678</v>
      </c>
      <c r="Q12" s="33" t="s">
        <v>71</v>
      </c>
      <c r="R12" s="33" t="s">
        <v>221</v>
      </c>
      <c r="S12" s="33" t="s">
        <v>77</v>
      </c>
      <c r="T12" s="33" t="s">
        <v>60</v>
      </c>
      <c r="U12" s="33" t="s">
        <v>690</v>
      </c>
      <c r="V12" s="33" t="s">
        <v>24</v>
      </c>
      <c r="W12" s="32" t="s">
        <v>56</v>
      </c>
      <c r="X12" s="42" t="s">
        <v>125</v>
      </c>
      <c r="Y12" s="42" t="s">
        <v>125</v>
      </c>
      <c r="Z12" s="42" t="s">
        <v>125</v>
      </c>
      <c r="AA12" s="42"/>
    </row>
    <row r="13" spans="1:27" ht="33" x14ac:dyDescent="0.2">
      <c r="A13" s="4">
        <v>12</v>
      </c>
      <c r="B13" s="4" t="s">
        <v>595</v>
      </c>
      <c r="C13" s="3" t="s">
        <v>333</v>
      </c>
      <c r="D13" s="4">
        <v>1</v>
      </c>
      <c r="E13" s="4">
        <v>4</v>
      </c>
      <c r="F13" s="4" t="s">
        <v>218</v>
      </c>
      <c r="G13" s="4" t="s">
        <v>54</v>
      </c>
      <c r="H13" s="89" t="s">
        <v>54</v>
      </c>
      <c r="I13" s="4" t="s">
        <v>82</v>
      </c>
      <c r="J13" s="89" t="s">
        <v>57</v>
      </c>
      <c r="K13" s="89" t="s">
        <v>57</v>
      </c>
      <c r="L13" s="89" t="s">
        <v>49</v>
      </c>
      <c r="M13" s="1" t="s">
        <v>694</v>
      </c>
      <c r="N13" s="76">
        <v>0.97099999999999997</v>
      </c>
      <c r="O13" s="9" t="s">
        <v>673</v>
      </c>
      <c r="P13" s="9" t="s">
        <v>678</v>
      </c>
      <c r="Q13" s="4" t="s">
        <v>71</v>
      </c>
      <c r="R13" s="4" t="s">
        <v>221</v>
      </c>
      <c r="S13" s="4" t="s">
        <v>48</v>
      </c>
      <c r="T13" s="4" t="s">
        <v>60</v>
      </c>
      <c r="U13" s="4" t="s">
        <v>690</v>
      </c>
      <c r="V13" s="4" t="s">
        <v>24</v>
      </c>
      <c r="W13" s="2" t="s">
        <v>56</v>
      </c>
      <c r="X13" s="56" t="s">
        <v>125</v>
      </c>
      <c r="Y13" s="56" t="s">
        <v>125</v>
      </c>
      <c r="Z13" s="56" t="s">
        <v>125</v>
      </c>
      <c r="AA13" s="56"/>
    </row>
    <row r="14" spans="1:27" ht="33" x14ac:dyDescent="0.2">
      <c r="A14" s="33">
        <v>13</v>
      </c>
      <c r="B14" s="33" t="s">
        <v>594</v>
      </c>
      <c r="C14" s="34" t="s">
        <v>28</v>
      </c>
      <c r="D14" s="33">
        <v>1</v>
      </c>
      <c r="E14" s="33">
        <v>4</v>
      </c>
      <c r="F14" s="33" t="s">
        <v>218</v>
      </c>
      <c r="G14" s="33" t="s">
        <v>54</v>
      </c>
      <c r="H14" s="36" t="s">
        <v>54</v>
      </c>
      <c r="I14" s="33" t="s">
        <v>82</v>
      </c>
      <c r="J14" s="36" t="s">
        <v>57</v>
      </c>
      <c r="K14" s="36" t="s">
        <v>57</v>
      </c>
      <c r="L14" s="36" t="s">
        <v>49</v>
      </c>
      <c r="M14" s="17" t="s">
        <v>694</v>
      </c>
      <c r="N14" s="74">
        <v>0.97099999999999997</v>
      </c>
      <c r="O14" s="37" t="s">
        <v>673</v>
      </c>
      <c r="P14" s="37" t="s">
        <v>678</v>
      </c>
      <c r="Q14" s="33" t="s">
        <v>71</v>
      </c>
      <c r="R14" s="33" t="s">
        <v>221</v>
      </c>
      <c r="S14" s="33" t="s">
        <v>78</v>
      </c>
      <c r="T14" s="33" t="s">
        <v>60</v>
      </c>
      <c r="U14" s="36" t="s">
        <v>52</v>
      </c>
      <c r="V14" s="33" t="s">
        <v>24</v>
      </c>
      <c r="W14" s="32" t="s">
        <v>56</v>
      </c>
      <c r="X14" s="42" t="s">
        <v>125</v>
      </c>
      <c r="Y14" s="42" t="s">
        <v>125</v>
      </c>
      <c r="Z14" s="42" t="s">
        <v>125</v>
      </c>
      <c r="AA14" s="42"/>
    </row>
    <row r="15" spans="1:27" ht="33" x14ac:dyDescent="0.2">
      <c r="A15" s="4">
        <v>14</v>
      </c>
      <c r="B15" s="4" t="s">
        <v>593</v>
      </c>
      <c r="C15" s="3" t="s">
        <v>343</v>
      </c>
      <c r="D15" s="4">
        <v>1</v>
      </c>
      <c r="E15" s="4">
        <v>4</v>
      </c>
      <c r="F15" s="4" t="s">
        <v>218</v>
      </c>
      <c r="G15" s="4" t="s">
        <v>54</v>
      </c>
      <c r="H15" s="89" t="s">
        <v>54</v>
      </c>
      <c r="I15" s="4" t="s">
        <v>82</v>
      </c>
      <c r="J15" s="89" t="s">
        <v>57</v>
      </c>
      <c r="K15" s="89" t="s">
        <v>57</v>
      </c>
      <c r="L15" s="89" t="s">
        <v>49</v>
      </c>
      <c r="M15" s="1" t="s">
        <v>694</v>
      </c>
      <c r="N15" s="76">
        <v>0.97099999999999997</v>
      </c>
      <c r="O15" s="9" t="s">
        <v>673</v>
      </c>
      <c r="P15" s="9" t="s">
        <v>678</v>
      </c>
      <c r="Q15" s="4" t="s">
        <v>71</v>
      </c>
      <c r="R15" s="4" t="s">
        <v>221</v>
      </c>
      <c r="S15" s="4" t="s">
        <v>79</v>
      </c>
      <c r="T15" s="4" t="s">
        <v>60</v>
      </c>
      <c r="U15" s="89" t="s">
        <v>52</v>
      </c>
      <c r="V15" s="4" t="s">
        <v>24</v>
      </c>
      <c r="W15" s="2" t="s">
        <v>56</v>
      </c>
      <c r="X15" s="56" t="s">
        <v>125</v>
      </c>
      <c r="Y15" s="56" t="s">
        <v>125</v>
      </c>
      <c r="Z15" s="56" t="s">
        <v>125</v>
      </c>
      <c r="AA15" s="56"/>
    </row>
    <row r="16" spans="1:27" ht="33" x14ac:dyDescent="0.2">
      <c r="A16" s="33">
        <v>15</v>
      </c>
      <c r="B16" s="33" t="s">
        <v>592</v>
      </c>
      <c r="C16" s="34" t="s">
        <v>29</v>
      </c>
      <c r="D16" s="33">
        <v>1</v>
      </c>
      <c r="E16" s="33">
        <v>4</v>
      </c>
      <c r="F16" s="33" t="s">
        <v>218</v>
      </c>
      <c r="G16" s="33" t="s">
        <v>54</v>
      </c>
      <c r="H16" s="36" t="s">
        <v>54</v>
      </c>
      <c r="I16" s="33" t="s">
        <v>82</v>
      </c>
      <c r="J16" s="36" t="s">
        <v>57</v>
      </c>
      <c r="K16" s="36" t="s">
        <v>57</v>
      </c>
      <c r="L16" s="36" t="s">
        <v>49</v>
      </c>
      <c r="M16" s="17" t="s">
        <v>694</v>
      </c>
      <c r="N16" s="74">
        <v>0.97099999999999997</v>
      </c>
      <c r="O16" s="37" t="s">
        <v>673</v>
      </c>
      <c r="P16" s="37" t="s">
        <v>678</v>
      </c>
      <c r="Q16" s="33" t="s">
        <v>71</v>
      </c>
      <c r="R16" s="33" t="s">
        <v>221</v>
      </c>
      <c r="S16" s="33" t="s">
        <v>80</v>
      </c>
      <c r="T16" s="33" t="s">
        <v>60</v>
      </c>
      <c r="U16" s="36" t="s">
        <v>52</v>
      </c>
      <c r="V16" s="33" t="s">
        <v>24</v>
      </c>
      <c r="W16" s="32" t="s">
        <v>56</v>
      </c>
      <c r="X16" s="42" t="s">
        <v>125</v>
      </c>
      <c r="Y16" s="42" t="s">
        <v>125</v>
      </c>
      <c r="Z16" s="42" t="s">
        <v>125</v>
      </c>
      <c r="AA16" s="42" t="s">
        <v>125</v>
      </c>
    </row>
    <row r="17" spans="1:27" ht="33" x14ac:dyDescent="0.2">
      <c r="A17" s="4">
        <v>16</v>
      </c>
      <c r="B17" s="4" t="s">
        <v>591</v>
      </c>
      <c r="C17" s="3" t="s">
        <v>30</v>
      </c>
      <c r="D17" s="4">
        <v>1</v>
      </c>
      <c r="E17" s="4">
        <v>4</v>
      </c>
      <c r="F17" s="4" t="s">
        <v>218</v>
      </c>
      <c r="G17" s="4" t="s">
        <v>54</v>
      </c>
      <c r="H17" s="89" t="s">
        <v>54</v>
      </c>
      <c r="I17" s="4" t="s">
        <v>82</v>
      </c>
      <c r="J17" s="89" t="s">
        <v>57</v>
      </c>
      <c r="K17" s="89" t="s">
        <v>57</v>
      </c>
      <c r="L17" s="89" t="s">
        <v>49</v>
      </c>
      <c r="M17" s="1" t="s">
        <v>694</v>
      </c>
      <c r="N17" s="76">
        <v>0.97099999999999997</v>
      </c>
      <c r="O17" s="9" t="s">
        <v>673</v>
      </c>
      <c r="P17" s="9" t="s">
        <v>678</v>
      </c>
      <c r="Q17" s="4" t="s">
        <v>71</v>
      </c>
      <c r="R17" s="4" t="s">
        <v>221</v>
      </c>
      <c r="S17" s="4" t="s">
        <v>81</v>
      </c>
      <c r="T17" s="4" t="s">
        <v>60</v>
      </c>
      <c r="U17" s="89" t="s">
        <v>52</v>
      </c>
      <c r="V17" s="4" t="s">
        <v>24</v>
      </c>
      <c r="W17" s="2" t="s">
        <v>56</v>
      </c>
      <c r="X17" s="56" t="s">
        <v>125</v>
      </c>
      <c r="Y17" s="56" t="s">
        <v>125</v>
      </c>
      <c r="Z17" s="56" t="s">
        <v>125</v>
      </c>
      <c r="AA17" s="56"/>
    </row>
    <row r="18" spans="1:27" ht="33" x14ac:dyDescent="0.2">
      <c r="A18" s="33">
        <v>17</v>
      </c>
      <c r="B18" s="33" t="s">
        <v>596</v>
      </c>
      <c r="C18" s="34" t="s">
        <v>597</v>
      </c>
      <c r="D18" s="33">
        <v>1</v>
      </c>
      <c r="E18" s="33">
        <v>4</v>
      </c>
      <c r="F18" s="33" t="s">
        <v>218</v>
      </c>
      <c r="G18" s="33" t="s">
        <v>54</v>
      </c>
      <c r="H18" s="36" t="s">
        <v>54</v>
      </c>
      <c r="I18" s="33" t="s">
        <v>231</v>
      </c>
      <c r="J18" s="33" t="s">
        <v>133</v>
      </c>
      <c r="K18" s="36" t="s">
        <v>57</v>
      </c>
      <c r="L18" s="36" t="s">
        <v>37</v>
      </c>
      <c r="M18" s="17" t="s">
        <v>694</v>
      </c>
      <c r="N18" s="74">
        <v>0.97060000000000002</v>
      </c>
      <c r="O18" s="37" t="s">
        <v>674</v>
      </c>
      <c r="P18" s="37" t="s">
        <v>677</v>
      </c>
      <c r="Q18" s="33" t="s">
        <v>645</v>
      </c>
      <c r="R18" s="33" t="s">
        <v>221</v>
      </c>
      <c r="S18" s="33" t="s">
        <v>48</v>
      </c>
      <c r="T18" s="33" t="s">
        <v>60</v>
      </c>
      <c r="U18" s="33" t="s">
        <v>337</v>
      </c>
      <c r="V18" s="33" t="s">
        <v>24</v>
      </c>
      <c r="W18" s="32" t="s">
        <v>681</v>
      </c>
      <c r="X18" s="42" t="s">
        <v>125</v>
      </c>
      <c r="Y18" s="42"/>
      <c r="Z18" s="42" t="s">
        <v>125</v>
      </c>
      <c r="AA18" s="42"/>
    </row>
    <row r="19" spans="1:27" ht="33" x14ac:dyDescent="0.2">
      <c r="A19" s="4">
        <v>18</v>
      </c>
      <c r="B19" s="4" t="s">
        <v>598</v>
      </c>
      <c r="C19" s="3" t="s">
        <v>599</v>
      </c>
      <c r="D19" s="4">
        <v>1</v>
      </c>
      <c r="E19" s="4">
        <v>4</v>
      </c>
      <c r="F19" s="4" t="s">
        <v>218</v>
      </c>
      <c r="G19" s="4" t="s">
        <v>54</v>
      </c>
      <c r="H19" s="89" t="s">
        <v>54</v>
      </c>
      <c r="I19" s="4" t="s">
        <v>231</v>
      </c>
      <c r="J19" s="4" t="s">
        <v>133</v>
      </c>
      <c r="K19" s="89" t="s">
        <v>57</v>
      </c>
      <c r="L19" s="89" t="s">
        <v>37</v>
      </c>
      <c r="M19" s="1" t="s">
        <v>694</v>
      </c>
      <c r="N19" s="76">
        <v>0.97060000000000002</v>
      </c>
      <c r="O19" s="9" t="s">
        <v>674</v>
      </c>
      <c r="P19" s="9" t="s">
        <v>677</v>
      </c>
      <c r="Q19" s="4" t="s">
        <v>645</v>
      </c>
      <c r="R19" s="4" t="s">
        <v>221</v>
      </c>
      <c r="S19" s="4" t="s">
        <v>48</v>
      </c>
      <c r="T19" s="4" t="s">
        <v>60</v>
      </c>
      <c r="U19" s="4" t="s">
        <v>337</v>
      </c>
      <c r="V19" s="4" t="s">
        <v>24</v>
      </c>
      <c r="W19" s="2" t="s">
        <v>681</v>
      </c>
      <c r="X19" s="56" t="s">
        <v>125</v>
      </c>
      <c r="Y19" s="56"/>
      <c r="Z19" s="56" t="s">
        <v>125</v>
      </c>
      <c r="AA19" s="56"/>
    </row>
    <row r="20" spans="1:27" ht="33" x14ac:dyDescent="0.2">
      <c r="A20" s="33">
        <v>19</v>
      </c>
      <c r="B20" s="33" t="s">
        <v>582</v>
      </c>
      <c r="C20" s="34" t="s">
        <v>661</v>
      </c>
      <c r="D20" s="33">
        <v>1</v>
      </c>
      <c r="E20" s="33" t="s">
        <v>162</v>
      </c>
      <c r="F20" s="33" t="s">
        <v>133</v>
      </c>
      <c r="G20" s="33" t="s">
        <v>133</v>
      </c>
      <c r="H20" s="33" t="s">
        <v>54</v>
      </c>
      <c r="I20" s="33" t="s">
        <v>231</v>
      </c>
      <c r="J20" s="36" t="s">
        <v>57</v>
      </c>
      <c r="K20" s="36" t="s">
        <v>57</v>
      </c>
      <c r="L20" s="33" t="s">
        <v>36</v>
      </c>
      <c r="M20" s="33" t="s">
        <v>162</v>
      </c>
      <c r="N20" s="74">
        <v>0.96850000000000003</v>
      </c>
      <c r="O20" s="37" t="s">
        <v>670</v>
      </c>
      <c r="P20" s="37" t="s">
        <v>606</v>
      </c>
      <c r="Q20" s="33" t="s">
        <v>230</v>
      </c>
      <c r="R20" s="33" t="s">
        <v>221</v>
      </c>
      <c r="S20" s="33" t="s">
        <v>48</v>
      </c>
      <c r="T20" s="33" t="s">
        <v>60</v>
      </c>
      <c r="U20" s="33" t="s">
        <v>337</v>
      </c>
      <c r="V20" s="33" t="s">
        <v>688</v>
      </c>
      <c r="W20" s="32" t="s">
        <v>56</v>
      </c>
      <c r="X20" s="42" t="s">
        <v>125</v>
      </c>
      <c r="Y20" s="42"/>
      <c r="Z20" s="42" t="s">
        <v>125</v>
      </c>
      <c r="AA20" s="33"/>
    </row>
    <row r="21" spans="1:27" ht="33" x14ac:dyDescent="0.2">
      <c r="A21" s="4">
        <v>20</v>
      </c>
      <c r="B21" s="4" t="s">
        <v>583</v>
      </c>
      <c r="C21" s="3" t="s">
        <v>662</v>
      </c>
      <c r="D21" s="4">
        <v>1</v>
      </c>
      <c r="E21" s="4" t="s">
        <v>162</v>
      </c>
      <c r="F21" s="4" t="s">
        <v>133</v>
      </c>
      <c r="G21" s="4" t="s">
        <v>133</v>
      </c>
      <c r="H21" s="4" t="s">
        <v>54</v>
      </c>
      <c r="I21" s="4" t="s">
        <v>231</v>
      </c>
      <c r="J21" s="89" t="s">
        <v>57</v>
      </c>
      <c r="K21" s="89" t="s">
        <v>57</v>
      </c>
      <c r="L21" s="4" t="s">
        <v>36</v>
      </c>
      <c r="M21" s="4" t="s">
        <v>162</v>
      </c>
      <c r="N21" s="76">
        <v>0.96850000000000003</v>
      </c>
      <c r="O21" s="9" t="s">
        <v>670</v>
      </c>
      <c r="P21" s="9" t="s">
        <v>606</v>
      </c>
      <c r="Q21" s="4" t="s">
        <v>230</v>
      </c>
      <c r="R21" s="4" t="s">
        <v>221</v>
      </c>
      <c r="S21" s="4" t="s">
        <v>48</v>
      </c>
      <c r="T21" s="4" t="s">
        <v>60</v>
      </c>
      <c r="U21" s="4" t="s">
        <v>337</v>
      </c>
      <c r="V21" s="4" t="s">
        <v>688</v>
      </c>
      <c r="W21" s="2" t="s">
        <v>56</v>
      </c>
      <c r="X21" s="56" t="s">
        <v>125</v>
      </c>
      <c r="Y21" s="56"/>
      <c r="Z21" s="56" t="s">
        <v>125</v>
      </c>
      <c r="AA21" s="29"/>
    </row>
    <row r="22" spans="1:27" ht="49.5" x14ac:dyDescent="0.2">
      <c r="A22" s="33">
        <v>21</v>
      </c>
      <c r="B22" s="33" t="s">
        <v>585</v>
      </c>
      <c r="C22" s="34" t="s">
        <v>228</v>
      </c>
      <c r="D22" s="33">
        <v>1</v>
      </c>
      <c r="E22" s="33" t="s">
        <v>162</v>
      </c>
      <c r="F22" s="33" t="s">
        <v>133</v>
      </c>
      <c r="G22" s="33" t="s">
        <v>133</v>
      </c>
      <c r="H22" s="33" t="s">
        <v>54</v>
      </c>
      <c r="I22" s="33" t="s">
        <v>82</v>
      </c>
      <c r="J22" s="36" t="s">
        <v>57</v>
      </c>
      <c r="K22" s="33" t="s">
        <v>19</v>
      </c>
      <c r="L22" s="33" t="s">
        <v>46</v>
      </c>
      <c r="M22" s="33" t="s">
        <v>162</v>
      </c>
      <c r="N22" s="74" t="s">
        <v>669</v>
      </c>
      <c r="O22" s="37" t="s">
        <v>672</v>
      </c>
      <c r="P22" s="37" t="s">
        <v>676</v>
      </c>
      <c r="Q22" s="33" t="s">
        <v>71</v>
      </c>
      <c r="R22" s="33" t="s">
        <v>221</v>
      </c>
      <c r="S22" s="54" t="s">
        <v>197</v>
      </c>
      <c r="T22" s="33" t="s">
        <v>60</v>
      </c>
      <c r="U22" s="33" t="s">
        <v>337</v>
      </c>
      <c r="V22" s="33" t="s">
        <v>689</v>
      </c>
      <c r="W22" s="32" t="s">
        <v>163</v>
      </c>
      <c r="X22" s="42" t="s">
        <v>125</v>
      </c>
      <c r="Y22" s="42" t="s">
        <v>125</v>
      </c>
      <c r="Z22" s="42" t="s">
        <v>125</v>
      </c>
      <c r="AA22" s="33"/>
    </row>
    <row r="23" spans="1:27" ht="49.5" x14ac:dyDescent="0.2">
      <c r="A23" s="4">
        <v>22</v>
      </c>
      <c r="B23" s="4" t="s">
        <v>586</v>
      </c>
      <c r="C23" s="3" t="s">
        <v>229</v>
      </c>
      <c r="D23" s="4">
        <v>1</v>
      </c>
      <c r="E23" s="4" t="s">
        <v>162</v>
      </c>
      <c r="F23" s="4" t="s">
        <v>133</v>
      </c>
      <c r="G23" s="4" t="s">
        <v>133</v>
      </c>
      <c r="H23" s="4" t="s">
        <v>54</v>
      </c>
      <c r="I23" s="4" t="s">
        <v>82</v>
      </c>
      <c r="J23" s="89" t="s">
        <v>57</v>
      </c>
      <c r="K23" s="4" t="s">
        <v>19</v>
      </c>
      <c r="L23" s="4" t="s">
        <v>46</v>
      </c>
      <c r="M23" s="4" t="s">
        <v>162</v>
      </c>
      <c r="N23" s="76" t="s">
        <v>669</v>
      </c>
      <c r="O23" s="9" t="s">
        <v>672</v>
      </c>
      <c r="P23" s="9" t="s">
        <v>676</v>
      </c>
      <c r="Q23" s="4" t="s">
        <v>71</v>
      </c>
      <c r="R23" s="4" t="s">
        <v>221</v>
      </c>
      <c r="S23" s="4" t="s">
        <v>197</v>
      </c>
      <c r="T23" s="4" t="s">
        <v>60</v>
      </c>
      <c r="U23" s="4" t="s">
        <v>337</v>
      </c>
      <c r="V23" s="4" t="s">
        <v>689</v>
      </c>
      <c r="W23" s="2" t="s">
        <v>163</v>
      </c>
      <c r="X23" s="56" t="s">
        <v>125</v>
      </c>
      <c r="Y23" s="56" t="s">
        <v>125</v>
      </c>
      <c r="Z23" s="56" t="s">
        <v>125</v>
      </c>
      <c r="AA23" s="4"/>
    </row>
    <row r="24" spans="1:27" ht="16.5" x14ac:dyDescent="0.2">
      <c r="A24" s="120"/>
      <c r="B24" s="120"/>
      <c r="N24" s="45" t="s">
        <v>160</v>
      </c>
      <c r="O24" s="55" t="s">
        <v>157</v>
      </c>
      <c r="P24" s="45" t="s">
        <v>156</v>
      </c>
    </row>
    <row r="26" spans="1:27" x14ac:dyDescent="0.2">
      <c r="B26" s="82"/>
      <c r="C26" s="82"/>
    </row>
  </sheetData>
  <mergeCells count="1">
    <mergeCell ref="A24:B24"/>
  </mergeCells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EB20-C759-410D-B60A-3A6D037C98EC}">
  <dimension ref="A1:Y24"/>
  <sheetViews>
    <sheetView zoomScale="80" zoomScaleNormal="80" workbookViewId="0">
      <selection activeCell="A4" sqref="A4:XFD4"/>
    </sheetView>
  </sheetViews>
  <sheetFormatPr defaultColWidth="9" defaultRowHeight="14.25" x14ac:dyDescent="0.2"/>
  <cols>
    <col min="1" max="1" width="5.5" customWidth="1"/>
    <col min="2" max="2" width="28.5" bestFit="1" customWidth="1"/>
    <col min="3" max="3" width="50.625" bestFit="1" customWidth="1"/>
    <col min="4" max="4" width="17.875" bestFit="1" customWidth="1"/>
    <col min="5" max="6" width="14.75" customWidth="1"/>
    <col min="7" max="7" width="18.5" customWidth="1"/>
    <col min="8" max="8" width="18.625" bestFit="1" customWidth="1"/>
    <col min="9" max="10" width="10.75" customWidth="1"/>
    <col min="11" max="11" width="14.75" customWidth="1"/>
    <col min="12" max="12" width="12.375" bestFit="1" customWidth="1"/>
    <col min="13" max="15" width="14.75" customWidth="1"/>
    <col min="16" max="20" width="10.75" customWidth="1"/>
    <col min="21" max="22" width="23.625" customWidth="1"/>
    <col min="23" max="24" width="10.75" customWidth="1"/>
    <col min="25" max="25" width="10" bestFit="1" customWidth="1"/>
  </cols>
  <sheetData>
    <row r="1" spans="1:25" s="8" customFormat="1" ht="36" x14ac:dyDescent="0.2">
      <c r="A1" s="30" t="s">
        <v>0</v>
      </c>
      <c r="B1" s="30" t="s">
        <v>1</v>
      </c>
      <c r="C1" s="30" t="s">
        <v>2</v>
      </c>
      <c r="D1" s="30" t="s">
        <v>238</v>
      </c>
      <c r="E1" s="30" t="s">
        <v>364</v>
      </c>
      <c r="F1" s="30" t="s">
        <v>239</v>
      </c>
      <c r="G1" s="30" t="s">
        <v>233</v>
      </c>
      <c r="H1" s="30" t="s">
        <v>154</v>
      </c>
      <c r="I1" s="30" t="s">
        <v>241</v>
      </c>
      <c r="J1" s="30" t="s">
        <v>242</v>
      </c>
      <c r="K1" s="30" t="s">
        <v>240</v>
      </c>
      <c r="L1" s="30" t="s">
        <v>155</v>
      </c>
      <c r="M1" s="30" t="s">
        <v>268</v>
      </c>
      <c r="N1" s="30" t="s">
        <v>245</v>
      </c>
      <c r="O1" s="30" t="s">
        <v>254</v>
      </c>
      <c r="P1" s="30" t="s">
        <v>269</v>
      </c>
      <c r="Q1" s="30" t="s">
        <v>253</v>
      </c>
      <c r="R1" s="30" t="s">
        <v>248</v>
      </c>
      <c r="S1" s="30" t="s">
        <v>380</v>
      </c>
      <c r="T1" s="30" t="s">
        <v>251</v>
      </c>
      <c r="U1" s="30" t="s">
        <v>270</v>
      </c>
      <c r="V1" s="30" t="s">
        <v>271</v>
      </c>
      <c r="W1" s="30" t="s">
        <v>252</v>
      </c>
      <c r="X1" s="30" t="s">
        <v>272</v>
      </c>
      <c r="Y1" s="30" t="s">
        <v>367</v>
      </c>
    </row>
    <row r="2" spans="1:25" s="5" customFormat="1" ht="33" x14ac:dyDescent="0.2">
      <c r="A2" s="33">
        <v>1</v>
      </c>
      <c r="B2" s="33" t="s">
        <v>581</v>
      </c>
      <c r="C2" s="32" t="s">
        <v>76</v>
      </c>
      <c r="D2" s="20" t="s">
        <v>601</v>
      </c>
      <c r="E2" s="21" t="s">
        <v>604</v>
      </c>
      <c r="F2" s="21" t="s">
        <v>237</v>
      </c>
      <c r="G2" s="20" t="s">
        <v>602</v>
      </c>
      <c r="H2" s="21" t="s">
        <v>603</v>
      </c>
      <c r="I2" s="75">
        <v>1E-3</v>
      </c>
      <c r="J2" s="63">
        <v>49.99</v>
      </c>
      <c r="K2" s="60">
        <v>1</v>
      </c>
      <c r="L2" s="21" t="s">
        <v>606</v>
      </c>
      <c r="M2" s="65" t="s">
        <v>607</v>
      </c>
      <c r="N2" s="65" t="s">
        <v>608</v>
      </c>
      <c r="O2" s="17" t="s">
        <v>267</v>
      </c>
      <c r="P2" s="20" t="s">
        <v>442</v>
      </c>
      <c r="Q2" s="67">
        <v>1</v>
      </c>
      <c r="R2" s="17">
        <v>0</v>
      </c>
      <c r="S2" s="17">
        <v>0</v>
      </c>
      <c r="T2" s="60">
        <v>3</v>
      </c>
      <c r="U2" s="21" t="s">
        <v>609</v>
      </c>
      <c r="V2" s="21" t="s">
        <v>610</v>
      </c>
      <c r="W2" s="17">
        <v>10</v>
      </c>
      <c r="X2" s="65" t="s">
        <v>273</v>
      </c>
      <c r="Y2" s="86">
        <v>60.3</v>
      </c>
    </row>
    <row r="3" spans="1:25" s="12" customFormat="1" ht="33" x14ac:dyDescent="0.2">
      <c r="A3" s="4">
        <v>2</v>
      </c>
      <c r="B3" s="4" t="s">
        <v>580</v>
      </c>
      <c r="C3" s="2" t="s">
        <v>654</v>
      </c>
      <c r="D3" s="15" t="s">
        <v>601</v>
      </c>
      <c r="E3" s="6" t="s">
        <v>604</v>
      </c>
      <c r="F3" s="6" t="s">
        <v>237</v>
      </c>
      <c r="G3" s="15" t="s">
        <v>602</v>
      </c>
      <c r="H3" s="6" t="s">
        <v>611</v>
      </c>
      <c r="I3" s="77">
        <v>1.1000000000000001E-3</v>
      </c>
      <c r="J3" s="62">
        <v>49.99</v>
      </c>
      <c r="K3" s="61">
        <v>1</v>
      </c>
      <c r="L3" s="6" t="s">
        <v>606</v>
      </c>
      <c r="M3" s="64" t="s">
        <v>607</v>
      </c>
      <c r="N3" s="64" t="s">
        <v>608</v>
      </c>
      <c r="O3" s="1" t="s">
        <v>267</v>
      </c>
      <c r="P3" s="1" t="s">
        <v>260</v>
      </c>
      <c r="Q3" s="66">
        <v>1</v>
      </c>
      <c r="R3" s="1">
        <v>0</v>
      </c>
      <c r="S3" s="1">
        <v>0</v>
      </c>
      <c r="T3" s="61">
        <v>3</v>
      </c>
      <c r="U3" s="6" t="s">
        <v>609</v>
      </c>
      <c r="V3" s="6" t="s">
        <v>610</v>
      </c>
      <c r="W3" s="1">
        <v>10</v>
      </c>
      <c r="X3" s="64" t="s">
        <v>273</v>
      </c>
      <c r="Y3" s="66">
        <v>63.5</v>
      </c>
    </row>
    <row r="4" spans="1:25" ht="33" x14ac:dyDescent="0.2">
      <c r="A4" s="33">
        <v>3</v>
      </c>
      <c r="B4" s="33" t="s">
        <v>579</v>
      </c>
      <c r="C4" s="34" t="s">
        <v>656</v>
      </c>
      <c r="D4" s="20" t="s">
        <v>601</v>
      </c>
      <c r="E4" s="21" t="s">
        <v>604</v>
      </c>
      <c r="F4" s="21" t="s">
        <v>237</v>
      </c>
      <c r="G4" s="20" t="s">
        <v>602</v>
      </c>
      <c r="H4" s="21" t="s">
        <v>611</v>
      </c>
      <c r="I4" s="75">
        <v>1.1000000000000001E-3</v>
      </c>
      <c r="J4" s="63">
        <v>49.99</v>
      </c>
      <c r="K4" s="60">
        <v>1</v>
      </c>
      <c r="L4" s="21" t="s">
        <v>606</v>
      </c>
      <c r="M4" s="65" t="s">
        <v>607</v>
      </c>
      <c r="N4" s="65" t="s">
        <v>608</v>
      </c>
      <c r="O4" s="17" t="s">
        <v>267</v>
      </c>
      <c r="P4" s="20" t="s">
        <v>260</v>
      </c>
      <c r="Q4" s="67">
        <v>1</v>
      </c>
      <c r="R4" s="17">
        <v>0</v>
      </c>
      <c r="S4" s="17">
        <v>0</v>
      </c>
      <c r="T4" s="60">
        <v>3</v>
      </c>
      <c r="U4" s="21" t="s">
        <v>609</v>
      </c>
      <c r="V4" s="21" t="s">
        <v>610</v>
      </c>
      <c r="W4" s="17">
        <v>10</v>
      </c>
      <c r="X4" s="65" t="s">
        <v>273</v>
      </c>
      <c r="Y4" s="67">
        <v>63.5</v>
      </c>
    </row>
    <row r="5" spans="1:25" ht="33" x14ac:dyDescent="0.2">
      <c r="A5" s="4">
        <v>4</v>
      </c>
      <c r="B5" s="4" t="s">
        <v>578</v>
      </c>
      <c r="C5" s="3" t="s">
        <v>655</v>
      </c>
      <c r="D5" s="15" t="s">
        <v>601</v>
      </c>
      <c r="E5" s="6" t="s">
        <v>604</v>
      </c>
      <c r="F5" s="6" t="s">
        <v>237</v>
      </c>
      <c r="G5" s="15" t="s">
        <v>602</v>
      </c>
      <c r="H5" s="6" t="s">
        <v>611</v>
      </c>
      <c r="I5" s="77">
        <v>1.1000000000000001E-3</v>
      </c>
      <c r="J5" s="62">
        <v>49.99</v>
      </c>
      <c r="K5" s="61">
        <v>1</v>
      </c>
      <c r="L5" s="6" t="s">
        <v>606</v>
      </c>
      <c r="M5" s="64" t="s">
        <v>607</v>
      </c>
      <c r="N5" s="64" t="s">
        <v>608</v>
      </c>
      <c r="O5" s="1" t="s">
        <v>267</v>
      </c>
      <c r="P5" s="1" t="s">
        <v>260</v>
      </c>
      <c r="Q5" s="66">
        <v>1</v>
      </c>
      <c r="R5" s="1">
        <v>0</v>
      </c>
      <c r="S5" s="1">
        <v>0</v>
      </c>
      <c r="T5" s="61">
        <v>3</v>
      </c>
      <c r="U5" s="6" t="s">
        <v>609</v>
      </c>
      <c r="V5" s="6" t="s">
        <v>610</v>
      </c>
      <c r="W5" s="1">
        <v>10</v>
      </c>
      <c r="X5" s="64" t="s">
        <v>273</v>
      </c>
      <c r="Y5" s="66">
        <v>63.5</v>
      </c>
    </row>
    <row r="6" spans="1:25" ht="33" x14ac:dyDescent="0.2">
      <c r="A6" s="33">
        <v>5</v>
      </c>
      <c r="B6" s="33" t="s">
        <v>577</v>
      </c>
      <c r="C6" s="34" t="s">
        <v>657</v>
      </c>
      <c r="D6" s="20" t="s">
        <v>601</v>
      </c>
      <c r="E6" s="21" t="s">
        <v>604</v>
      </c>
      <c r="F6" s="21" t="s">
        <v>237</v>
      </c>
      <c r="G6" s="20" t="s">
        <v>602</v>
      </c>
      <c r="H6" s="21" t="s">
        <v>611</v>
      </c>
      <c r="I6" s="75">
        <v>1.1000000000000001E-3</v>
      </c>
      <c r="J6" s="63">
        <v>49.99</v>
      </c>
      <c r="K6" s="60">
        <v>1</v>
      </c>
      <c r="L6" s="21" t="s">
        <v>606</v>
      </c>
      <c r="M6" s="65" t="s">
        <v>607</v>
      </c>
      <c r="N6" s="65" t="s">
        <v>608</v>
      </c>
      <c r="O6" s="17" t="s">
        <v>267</v>
      </c>
      <c r="P6" s="20" t="s">
        <v>260</v>
      </c>
      <c r="Q6" s="67">
        <v>1</v>
      </c>
      <c r="R6" s="17">
        <v>0</v>
      </c>
      <c r="S6" s="17">
        <v>0</v>
      </c>
      <c r="T6" s="60">
        <v>3</v>
      </c>
      <c r="U6" s="21" t="s">
        <v>609</v>
      </c>
      <c r="V6" s="21" t="s">
        <v>610</v>
      </c>
      <c r="W6" s="17">
        <v>10</v>
      </c>
      <c r="X6" s="65" t="s">
        <v>273</v>
      </c>
      <c r="Y6" s="67">
        <v>63.5</v>
      </c>
    </row>
    <row r="7" spans="1:25" ht="33" x14ac:dyDescent="0.2">
      <c r="A7" s="4">
        <v>6</v>
      </c>
      <c r="B7" s="4" t="s">
        <v>576</v>
      </c>
      <c r="C7" s="87" t="s">
        <v>59</v>
      </c>
      <c r="D7" s="15" t="s">
        <v>600</v>
      </c>
      <c r="E7" s="6" t="s">
        <v>374</v>
      </c>
      <c r="F7" s="6" t="s">
        <v>236</v>
      </c>
      <c r="G7" s="15" t="s">
        <v>653</v>
      </c>
      <c r="H7" s="6" t="s">
        <v>611</v>
      </c>
      <c r="I7" s="77">
        <v>1E-3</v>
      </c>
      <c r="J7" s="62">
        <v>49.99</v>
      </c>
      <c r="K7" s="61">
        <v>1</v>
      </c>
      <c r="L7" s="6" t="s">
        <v>605</v>
      </c>
      <c r="M7" s="64" t="s">
        <v>612</v>
      </c>
      <c r="N7" s="64" t="s">
        <v>613</v>
      </c>
      <c r="O7" s="1" t="s">
        <v>276</v>
      </c>
      <c r="P7" s="15" t="s">
        <v>277</v>
      </c>
      <c r="Q7" s="66">
        <v>1</v>
      </c>
      <c r="R7" s="1">
        <v>0</v>
      </c>
      <c r="S7" s="1">
        <v>0</v>
      </c>
      <c r="T7" s="61">
        <v>3</v>
      </c>
      <c r="U7" s="6" t="s">
        <v>614</v>
      </c>
      <c r="V7" s="6" t="s">
        <v>615</v>
      </c>
      <c r="W7" s="1">
        <v>10</v>
      </c>
      <c r="X7" s="1" t="s">
        <v>616</v>
      </c>
      <c r="Y7" s="66">
        <v>64.599999999999994</v>
      </c>
    </row>
    <row r="8" spans="1:25" ht="33" x14ac:dyDescent="0.2">
      <c r="A8" s="33">
        <v>7</v>
      </c>
      <c r="B8" s="33" t="s">
        <v>584</v>
      </c>
      <c r="C8" s="34" t="s">
        <v>27</v>
      </c>
      <c r="D8" s="20" t="s">
        <v>600</v>
      </c>
      <c r="E8" s="21" t="s">
        <v>374</v>
      </c>
      <c r="F8" s="21" t="s">
        <v>236</v>
      </c>
      <c r="G8" s="20" t="s">
        <v>617</v>
      </c>
      <c r="H8" s="21" t="s">
        <v>618</v>
      </c>
      <c r="I8" s="75">
        <v>1E-3</v>
      </c>
      <c r="J8" s="63">
        <v>49.99</v>
      </c>
      <c r="K8" s="60">
        <v>1</v>
      </c>
      <c r="L8" s="21" t="s">
        <v>619</v>
      </c>
      <c r="M8" s="65" t="s">
        <v>620</v>
      </c>
      <c r="N8" s="65" t="s">
        <v>621</v>
      </c>
      <c r="O8" s="17" t="s">
        <v>276</v>
      </c>
      <c r="P8" s="17" t="s">
        <v>260</v>
      </c>
      <c r="Q8" s="67">
        <v>1</v>
      </c>
      <c r="R8" s="17">
        <v>0</v>
      </c>
      <c r="S8" s="17">
        <v>0</v>
      </c>
      <c r="T8" s="60">
        <v>3</v>
      </c>
      <c r="U8" s="21" t="s">
        <v>622</v>
      </c>
      <c r="V8" s="21" t="s">
        <v>623</v>
      </c>
      <c r="W8" s="17">
        <v>10</v>
      </c>
      <c r="X8" s="17" t="s">
        <v>624</v>
      </c>
      <c r="Y8" s="86">
        <v>65</v>
      </c>
    </row>
    <row r="9" spans="1:25" ht="33" x14ac:dyDescent="0.2">
      <c r="A9" s="4">
        <v>8</v>
      </c>
      <c r="B9" s="4" t="s">
        <v>587</v>
      </c>
      <c r="C9" s="3" t="s">
        <v>658</v>
      </c>
      <c r="D9" s="15" t="s">
        <v>600</v>
      </c>
      <c r="E9" s="6" t="s">
        <v>374</v>
      </c>
      <c r="F9" s="6" t="s">
        <v>236</v>
      </c>
      <c r="G9" s="15" t="s">
        <v>617</v>
      </c>
      <c r="H9" s="6" t="s">
        <v>618</v>
      </c>
      <c r="I9" s="77">
        <v>1E-3</v>
      </c>
      <c r="J9" s="62">
        <v>49.99</v>
      </c>
      <c r="K9" s="61">
        <v>1</v>
      </c>
      <c r="L9" s="6" t="s">
        <v>619</v>
      </c>
      <c r="M9" s="64" t="s">
        <v>620</v>
      </c>
      <c r="N9" s="64" t="s">
        <v>621</v>
      </c>
      <c r="O9" s="1" t="s">
        <v>276</v>
      </c>
      <c r="P9" s="1" t="s">
        <v>260</v>
      </c>
      <c r="Q9" s="66">
        <v>1</v>
      </c>
      <c r="R9" s="1">
        <v>0</v>
      </c>
      <c r="S9" s="1">
        <v>0</v>
      </c>
      <c r="T9" s="61">
        <v>3</v>
      </c>
      <c r="U9" s="6" t="s">
        <v>622</v>
      </c>
      <c r="V9" s="6" t="s">
        <v>623</v>
      </c>
      <c r="W9" s="1">
        <v>10</v>
      </c>
      <c r="X9" s="1" t="s">
        <v>624</v>
      </c>
      <c r="Y9" s="88">
        <v>65</v>
      </c>
    </row>
    <row r="10" spans="1:25" ht="33" x14ac:dyDescent="0.2">
      <c r="A10" s="33">
        <v>9</v>
      </c>
      <c r="B10" s="33" t="s">
        <v>588</v>
      </c>
      <c r="C10" s="34" t="s">
        <v>659</v>
      </c>
      <c r="D10" s="20" t="s">
        <v>600</v>
      </c>
      <c r="E10" s="21" t="s">
        <v>374</v>
      </c>
      <c r="F10" s="21" t="s">
        <v>236</v>
      </c>
      <c r="G10" s="20" t="s">
        <v>617</v>
      </c>
      <c r="H10" s="21" t="s">
        <v>618</v>
      </c>
      <c r="I10" s="75">
        <v>1E-3</v>
      </c>
      <c r="J10" s="63">
        <v>49.99</v>
      </c>
      <c r="K10" s="60">
        <v>1</v>
      </c>
      <c r="L10" s="21" t="s">
        <v>619</v>
      </c>
      <c r="M10" s="65" t="s">
        <v>620</v>
      </c>
      <c r="N10" s="65" t="s">
        <v>621</v>
      </c>
      <c r="O10" s="17" t="s">
        <v>276</v>
      </c>
      <c r="P10" s="17" t="s">
        <v>260</v>
      </c>
      <c r="Q10" s="67">
        <v>1</v>
      </c>
      <c r="R10" s="17">
        <v>0</v>
      </c>
      <c r="S10" s="17">
        <v>0</v>
      </c>
      <c r="T10" s="60">
        <v>3</v>
      </c>
      <c r="U10" s="21" t="s">
        <v>622</v>
      </c>
      <c r="V10" s="21" t="s">
        <v>623</v>
      </c>
      <c r="W10" s="17">
        <v>10</v>
      </c>
      <c r="X10" s="17" t="s">
        <v>624</v>
      </c>
      <c r="Y10" s="86">
        <v>65</v>
      </c>
    </row>
    <row r="11" spans="1:25" ht="33" x14ac:dyDescent="0.2">
      <c r="A11" s="4">
        <v>10</v>
      </c>
      <c r="B11" s="4" t="s">
        <v>589</v>
      </c>
      <c r="C11" s="3" t="s">
        <v>660</v>
      </c>
      <c r="D11" s="15" t="s">
        <v>600</v>
      </c>
      <c r="E11" s="6" t="s">
        <v>374</v>
      </c>
      <c r="F11" s="6" t="s">
        <v>236</v>
      </c>
      <c r="G11" s="15" t="s">
        <v>617</v>
      </c>
      <c r="H11" s="6" t="s">
        <v>618</v>
      </c>
      <c r="I11" s="77">
        <v>1E-3</v>
      </c>
      <c r="J11" s="62">
        <v>49.99</v>
      </c>
      <c r="K11" s="61">
        <v>1</v>
      </c>
      <c r="L11" s="6" t="s">
        <v>619</v>
      </c>
      <c r="M11" s="64" t="s">
        <v>620</v>
      </c>
      <c r="N11" s="64" t="s">
        <v>621</v>
      </c>
      <c r="O11" s="1" t="s">
        <v>276</v>
      </c>
      <c r="P11" s="1" t="s">
        <v>260</v>
      </c>
      <c r="Q11" s="66">
        <v>1</v>
      </c>
      <c r="R11" s="1">
        <v>0</v>
      </c>
      <c r="S11" s="1">
        <v>0</v>
      </c>
      <c r="T11" s="61">
        <v>3</v>
      </c>
      <c r="U11" s="6" t="s">
        <v>622</v>
      </c>
      <c r="V11" s="6" t="s">
        <v>623</v>
      </c>
      <c r="W11" s="1">
        <v>10</v>
      </c>
      <c r="X11" s="1" t="s">
        <v>624</v>
      </c>
      <c r="Y11" s="88">
        <v>65</v>
      </c>
    </row>
    <row r="12" spans="1:25" ht="33" x14ac:dyDescent="0.2">
      <c r="A12" s="33">
        <v>11</v>
      </c>
      <c r="B12" s="33" t="s">
        <v>590</v>
      </c>
      <c r="C12" s="34" t="s">
        <v>334</v>
      </c>
      <c r="D12" s="20" t="s">
        <v>600</v>
      </c>
      <c r="E12" s="21" t="s">
        <v>374</v>
      </c>
      <c r="F12" s="21" t="s">
        <v>236</v>
      </c>
      <c r="G12" s="20" t="s">
        <v>625</v>
      </c>
      <c r="H12" s="21" t="s">
        <v>626</v>
      </c>
      <c r="I12" s="75">
        <v>1.1000000000000001E-3</v>
      </c>
      <c r="J12" s="63">
        <v>49.99</v>
      </c>
      <c r="K12" s="60">
        <v>1</v>
      </c>
      <c r="L12" s="21" t="s">
        <v>627</v>
      </c>
      <c r="M12" s="65" t="s">
        <v>628</v>
      </c>
      <c r="N12" s="65" t="s">
        <v>629</v>
      </c>
      <c r="O12" s="17" t="s">
        <v>275</v>
      </c>
      <c r="P12" s="20" t="s">
        <v>277</v>
      </c>
      <c r="Q12" s="67">
        <v>1</v>
      </c>
      <c r="R12" s="17">
        <v>0</v>
      </c>
      <c r="S12" s="17">
        <v>0</v>
      </c>
      <c r="T12" s="60">
        <v>3</v>
      </c>
      <c r="U12" s="21" t="s">
        <v>630</v>
      </c>
      <c r="V12" s="21" t="s">
        <v>631</v>
      </c>
      <c r="W12" s="17">
        <v>10</v>
      </c>
      <c r="X12" s="17" t="s">
        <v>632</v>
      </c>
      <c r="Y12" s="86">
        <v>69.8</v>
      </c>
    </row>
    <row r="13" spans="1:25" ht="33" x14ac:dyDescent="0.2">
      <c r="A13" s="4">
        <v>12</v>
      </c>
      <c r="B13" s="4" t="s">
        <v>595</v>
      </c>
      <c r="C13" s="3" t="s">
        <v>333</v>
      </c>
      <c r="D13" s="15" t="s">
        <v>600</v>
      </c>
      <c r="E13" s="6" t="s">
        <v>374</v>
      </c>
      <c r="F13" s="6" t="s">
        <v>236</v>
      </c>
      <c r="G13" s="15" t="s">
        <v>625</v>
      </c>
      <c r="H13" s="6" t="s">
        <v>626</v>
      </c>
      <c r="I13" s="77">
        <v>1.1000000000000001E-3</v>
      </c>
      <c r="J13" s="62">
        <v>49.99</v>
      </c>
      <c r="K13" s="61">
        <v>1</v>
      </c>
      <c r="L13" s="6" t="s">
        <v>627</v>
      </c>
      <c r="M13" s="64" t="s">
        <v>628</v>
      </c>
      <c r="N13" s="64" t="s">
        <v>629</v>
      </c>
      <c r="O13" s="1" t="s">
        <v>275</v>
      </c>
      <c r="P13" s="15" t="s">
        <v>277</v>
      </c>
      <c r="Q13" s="66">
        <v>1</v>
      </c>
      <c r="R13" s="1">
        <v>0</v>
      </c>
      <c r="S13" s="1">
        <v>0</v>
      </c>
      <c r="T13" s="61">
        <v>3</v>
      </c>
      <c r="U13" s="6" t="s">
        <v>630</v>
      </c>
      <c r="V13" s="6" t="s">
        <v>631</v>
      </c>
      <c r="W13" s="1">
        <v>10</v>
      </c>
      <c r="X13" s="1" t="s">
        <v>632</v>
      </c>
      <c r="Y13" s="88">
        <v>69.8</v>
      </c>
    </row>
    <row r="14" spans="1:25" ht="33" x14ac:dyDescent="0.2">
      <c r="A14" s="33">
        <v>13</v>
      </c>
      <c r="B14" s="33" t="s">
        <v>594</v>
      </c>
      <c r="C14" s="34" t="s">
        <v>28</v>
      </c>
      <c r="D14" s="20" t="s">
        <v>600</v>
      </c>
      <c r="E14" s="21" t="s">
        <v>374</v>
      </c>
      <c r="F14" s="21" t="s">
        <v>236</v>
      </c>
      <c r="G14" s="20" t="s">
        <v>625</v>
      </c>
      <c r="H14" s="21" t="s">
        <v>626</v>
      </c>
      <c r="I14" s="75">
        <v>1.1000000000000001E-3</v>
      </c>
      <c r="J14" s="63">
        <v>49.99</v>
      </c>
      <c r="K14" s="60">
        <v>1</v>
      </c>
      <c r="L14" s="21" t="s">
        <v>627</v>
      </c>
      <c r="M14" s="65" t="s">
        <v>628</v>
      </c>
      <c r="N14" s="65" t="s">
        <v>629</v>
      </c>
      <c r="O14" s="17" t="s">
        <v>275</v>
      </c>
      <c r="P14" s="20" t="s">
        <v>277</v>
      </c>
      <c r="Q14" s="67">
        <v>1</v>
      </c>
      <c r="R14" s="17">
        <v>0</v>
      </c>
      <c r="S14" s="17">
        <v>0</v>
      </c>
      <c r="T14" s="60">
        <v>3</v>
      </c>
      <c r="U14" s="21" t="s">
        <v>630</v>
      </c>
      <c r="V14" s="21" t="s">
        <v>631</v>
      </c>
      <c r="W14" s="17">
        <v>10</v>
      </c>
      <c r="X14" s="17" t="s">
        <v>632</v>
      </c>
      <c r="Y14" s="86">
        <v>69.8</v>
      </c>
    </row>
    <row r="15" spans="1:25" ht="33" x14ac:dyDescent="0.2">
      <c r="A15" s="4">
        <v>14</v>
      </c>
      <c r="B15" s="4" t="s">
        <v>593</v>
      </c>
      <c r="C15" s="3" t="s">
        <v>343</v>
      </c>
      <c r="D15" s="15" t="s">
        <v>600</v>
      </c>
      <c r="E15" s="6" t="s">
        <v>374</v>
      </c>
      <c r="F15" s="6" t="s">
        <v>236</v>
      </c>
      <c r="G15" s="15" t="s">
        <v>625</v>
      </c>
      <c r="H15" s="6" t="s">
        <v>626</v>
      </c>
      <c r="I15" s="77">
        <v>1.1000000000000001E-3</v>
      </c>
      <c r="J15" s="62">
        <v>49.99</v>
      </c>
      <c r="K15" s="61">
        <v>1</v>
      </c>
      <c r="L15" s="6" t="s">
        <v>627</v>
      </c>
      <c r="M15" s="64" t="s">
        <v>628</v>
      </c>
      <c r="N15" s="64" t="s">
        <v>629</v>
      </c>
      <c r="O15" s="1" t="s">
        <v>275</v>
      </c>
      <c r="P15" s="15" t="s">
        <v>277</v>
      </c>
      <c r="Q15" s="66">
        <v>1</v>
      </c>
      <c r="R15" s="1">
        <v>0</v>
      </c>
      <c r="S15" s="1">
        <v>0</v>
      </c>
      <c r="T15" s="61">
        <v>3</v>
      </c>
      <c r="U15" s="6" t="s">
        <v>630</v>
      </c>
      <c r="V15" s="6" t="s">
        <v>631</v>
      </c>
      <c r="W15" s="1">
        <v>10</v>
      </c>
      <c r="X15" s="1" t="s">
        <v>632</v>
      </c>
      <c r="Y15" s="88">
        <v>69.8</v>
      </c>
    </row>
    <row r="16" spans="1:25" ht="33" x14ac:dyDescent="0.2">
      <c r="A16" s="33">
        <v>15</v>
      </c>
      <c r="B16" s="33" t="s">
        <v>592</v>
      </c>
      <c r="C16" s="34" t="s">
        <v>29</v>
      </c>
      <c r="D16" s="20" t="s">
        <v>600</v>
      </c>
      <c r="E16" s="21" t="s">
        <v>374</v>
      </c>
      <c r="F16" s="21" t="s">
        <v>236</v>
      </c>
      <c r="G16" s="20" t="s">
        <v>625</v>
      </c>
      <c r="H16" s="21" t="s">
        <v>626</v>
      </c>
      <c r="I16" s="75">
        <v>1.1000000000000001E-3</v>
      </c>
      <c r="J16" s="63">
        <v>49.99</v>
      </c>
      <c r="K16" s="60">
        <v>1</v>
      </c>
      <c r="L16" s="21" t="s">
        <v>627</v>
      </c>
      <c r="M16" s="65" t="s">
        <v>628</v>
      </c>
      <c r="N16" s="65" t="s">
        <v>629</v>
      </c>
      <c r="O16" s="17" t="s">
        <v>275</v>
      </c>
      <c r="P16" s="20" t="s">
        <v>277</v>
      </c>
      <c r="Q16" s="67">
        <v>1</v>
      </c>
      <c r="R16" s="17">
        <v>0</v>
      </c>
      <c r="S16" s="17">
        <v>0</v>
      </c>
      <c r="T16" s="60">
        <v>3</v>
      </c>
      <c r="U16" s="21" t="s">
        <v>630</v>
      </c>
      <c r="V16" s="21" t="s">
        <v>631</v>
      </c>
      <c r="W16" s="17">
        <v>10</v>
      </c>
      <c r="X16" s="17" t="s">
        <v>632</v>
      </c>
      <c r="Y16" s="86">
        <v>69.8</v>
      </c>
    </row>
    <row r="17" spans="1:25" ht="33" x14ac:dyDescent="0.2">
      <c r="A17" s="4">
        <v>16</v>
      </c>
      <c r="B17" s="4" t="s">
        <v>591</v>
      </c>
      <c r="C17" s="3" t="s">
        <v>30</v>
      </c>
      <c r="D17" s="15" t="s">
        <v>600</v>
      </c>
      <c r="E17" s="6" t="s">
        <v>374</v>
      </c>
      <c r="F17" s="6" t="s">
        <v>236</v>
      </c>
      <c r="G17" s="15" t="s">
        <v>625</v>
      </c>
      <c r="H17" s="6" t="s">
        <v>626</v>
      </c>
      <c r="I17" s="77">
        <v>1.1000000000000001E-3</v>
      </c>
      <c r="J17" s="62">
        <v>49.99</v>
      </c>
      <c r="K17" s="61">
        <v>1</v>
      </c>
      <c r="L17" s="6" t="s">
        <v>627</v>
      </c>
      <c r="M17" s="64" t="s">
        <v>628</v>
      </c>
      <c r="N17" s="64" t="s">
        <v>629</v>
      </c>
      <c r="O17" s="1" t="s">
        <v>275</v>
      </c>
      <c r="P17" s="15" t="s">
        <v>277</v>
      </c>
      <c r="Q17" s="66">
        <v>1</v>
      </c>
      <c r="R17" s="1">
        <v>0</v>
      </c>
      <c r="S17" s="1">
        <v>0</v>
      </c>
      <c r="T17" s="61">
        <v>3</v>
      </c>
      <c r="U17" s="6" t="s">
        <v>630</v>
      </c>
      <c r="V17" s="6" t="s">
        <v>631</v>
      </c>
      <c r="W17" s="1">
        <v>10</v>
      </c>
      <c r="X17" s="1" t="s">
        <v>632</v>
      </c>
      <c r="Y17" s="88">
        <v>69.8</v>
      </c>
    </row>
    <row r="18" spans="1:25" ht="33" x14ac:dyDescent="0.2">
      <c r="A18" s="33">
        <v>17</v>
      </c>
      <c r="B18" s="33" t="s">
        <v>596</v>
      </c>
      <c r="C18" s="34" t="s">
        <v>597</v>
      </c>
      <c r="D18" s="20" t="s">
        <v>633</v>
      </c>
      <c r="E18" s="21" t="s">
        <v>634</v>
      </c>
      <c r="F18" s="21" t="s">
        <v>635</v>
      </c>
      <c r="G18" s="20" t="s">
        <v>636</v>
      </c>
      <c r="H18" s="21" t="s">
        <v>637</v>
      </c>
      <c r="I18" s="75">
        <v>1.1999999999999999E-3</v>
      </c>
      <c r="J18" s="63">
        <v>50.01</v>
      </c>
      <c r="K18" s="60">
        <v>1</v>
      </c>
      <c r="L18" s="21" t="s">
        <v>638</v>
      </c>
      <c r="M18" s="65" t="s">
        <v>639</v>
      </c>
      <c r="N18" s="65" t="s">
        <v>640</v>
      </c>
      <c r="O18" s="17" t="s">
        <v>255</v>
      </c>
      <c r="P18" s="20" t="s">
        <v>641</v>
      </c>
      <c r="Q18" s="67">
        <v>1</v>
      </c>
      <c r="R18" s="17">
        <v>0</v>
      </c>
      <c r="S18" s="17">
        <v>0</v>
      </c>
      <c r="T18" s="60">
        <v>3</v>
      </c>
      <c r="U18" s="21" t="s">
        <v>642</v>
      </c>
      <c r="V18" s="21" t="s">
        <v>643</v>
      </c>
      <c r="W18" s="17">
        <v>10</v>
      </c>
      <c r="X18" s="17" t="s">
        <v>644</v>
      </c>
      <c r="Y18" s="86">
        <v>68</v>
      </c>
    </row>
    <row r="19" spans="1:25" ht="33" x14ac:dyDescent="0.2">
      <c r="A19" s="4">
        <v>18</v>
      </c>
      <c r="B19" s="4" t="s">
        <v>598</v>
      </c>
      <c r="C19" s="3" t="s">
        <v>599</v>
      </c>
      <c r="D19" s="15" t="s">
        <v>633</v>
      </c>
      <c r="E19" s="6" t="s">
        <v>634</v>
      </c>
      <c r="F19" s="6" t="s">
        <v>635</v>
      </c>
      <c r="G19" s="15" t="s">
        <v>636</v>
      </c>
      <c r="H19" s="6" t="s">
        <v>637</v>
      </c>
      <c r="I19" s="77">
        <v>1.1999999999999999E-3</v>
      </c>
      <c r="J19" s="62">
        <v>50.01</v>
      </c>
      <c r="K19" s="61">
        <v>1</v>
      </c>
      <c r="L19" s="6" t="s">
        <v>638</v>
      </c>
      <c r="M19" s="64" t="s">
        <v>639</v>
      </c>
      <c r="N19" s="64" t="s">
        <v>640</v>
      </c>
      <c r="O19" s="1" t="s">
        <v>255</v>
      </c>
      <c r="P19" s="15" t="s">
        <v>641</v>
      </c>
      <c r="Q19" s="66">
        <v>1</v>
      </c>
      <c r="R19" s="1">
        <v>0</v>
      </c>
      <c r="S19" s="1">
        <v>0</v>
      </c>
      <c r="T19" s="61">
        <v>3</v>
      </c>
      <c r="U19" s="6" t="s">
        <v>642</v>
      </c>
      <c r="V19" s="6" t="s">
        <v>643</v>
      </c>
      <c r="W19" s="1">
        <v>10</v>
      </c>
      <c r="X19" s="1" t="s">
        <v>644</v>
      </c>
      <c r="Y19" s="88">
        <v>68</v>
      </c>
    </row>
    <row r="20" spans="1:25" ht="33" x14ac:dyDescent="0.2">
      <c r="A20" s="33">
        <v>19</v>
      </c>
      <c r="B20" s="33" t="s">
        <v>582</v>
      </c>
      <c r="C20" s="34" t="s">
        <v>661</v>
      </c>
      <c r="D20" s="121" t="s">
        <v>663</v>
      </c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3"/>
    </row>
    <row r="21" spans="1:25" ht="33" x14ac:dyDescent="0.2">
      <c r="A21" s="4">
        <v>20</v>
      </c>
      <c r="B21" s="4" t="s">
        <v>583</v>
      </c>
      <c r="C21" s="3" t="s">
        <v>662</v>
      </c>
      <c r="D21" s="124" t="s">
        <v>663</v>
      </c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6"/>
    </row>
    <row r="22" spans="1:25" ht="49.5" x14ac:dyDescent="0.2">
      <c r="A22" s="33">
        <v>21</v>
      </c>
      <c r="B22" s="33" t="s">
        <v>585</v>
      </c>
      <c r="C22" s="34" t="s">
        <v>228</v>
      </c>
      <c r="D22" s="121" t="s">
        <v>664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3"/>
    </row>
    <row r="23" spans="1:25" ht="49.5" x14ac:dyDescent="0.2">
      <c r="A23" s="4">
        <v>22</v>
      </c>
      <c r="B23" s="4" t="s">
        <v>586</v>
      </c>
      <c r="C23" s="3" t="s">
        <v>229</v>
      </c>
      <c r="D23" s="124" t="s">
        <v>664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6"/>
    </row>
    <row r="24" spans="1:25" ht="16.5" x14ac:dyDescent="0.2">
      <c r="G24" s="55" t="s">
        <v>234</v>
      </c>
      <c r="H24" s="55" t="s">
        <v>235</v>
      </c>
      <c r="I24" s="55"/>
      <c r="J24" s="55"/>
      <c r="L24" s="45" t="s">
        <v>156</v>
      </c>
      <c r="M24" s="45" t="s">
        <v>258</v>
      </c>
      <c r="N24" s="45" t="s">
        <v>246</v>
      </c>
      <c r="O24" s="45" t="s">
        <v>246</v>
      </c>
      <c r="P24" s="45" t="s">
        <v>259</v>
      </c>
      <c r="Q24" s="45"/>
      <c r="S24" s="45" t="s">
        <v>249</v>
      </c>
      <c r="T24" s="45"/>
      <c r="U24" s="45" t="s">
        <v>234</v>
      </c>
      <c r="V24" s="45" t="s">
        <v>234</v>
      </c>
      <c r="W24" s="68">
        <v>1.25</v>
      </c>
      <c r="X24" s="68" t="s">
        <v>274</v>
      </c>
    </row>
  </sheetData>
  <mergeCells count="4">
    <mergeCell ref="D22:Y22"/>
    <mergeCell ref="D23:Y23"/>
    <mergeCell ref="D20:Y20"/>
    <mergeCell ref="D21:Y21"/>
  </mergeCells>
  <phoneticPr fontId="6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D849-4B25-4B2D-8A27-C72BF574EA17}">
  <dimension ref="A1:AB98"/>
  <sheetViews>
    <sheetView zoomScale="80" zoomScaleNormal="80" workbookViewId="0">
      <pane ySplit="1" topLeftCell="A40" activePane="bottomLeft" state="frozen"/>
      <selection pane="bottomLeft" activeCell="B33" sqref="B33"/>
    </sheetView>
  </sheetViews>
  <sheetFormatPr defaultColWidth="9" defaultRowHeight="14.25" x14ac:dyDescent="0.2"/>
  <cols>
    <col min="1" max="1" width="5.5" style="8" customWidth="1"/>
    <col min="2" max="2" width="30.625" style="38" customWidth="1"/>
    <col min="3" max="3" width="77.625" style="8" customWidth="1"/>
    <col min="4" max="5" width="10.75" style="8" bestFit="1" customWidth="1"/>
    <col min="6" max="7" width="8.5" style="8" bestFit="1" customWidth="1"/>
    <col min="8" max="8" width="6.125" style="8" bestFit="1" customWidth="1"/>
    <col min="9" max="9" width="11.125" style="8" bestFit="1" customWidth="1"/>
    <col min="10" max="11" width="8.5" style="8" bestFit="1" customWidth="1"/>
    <col min="12" max="12" width="13.25" style="8" bestFit="1" customWidth="1"/>
    <col min="13" max="13" width="10.75" style="85" bestFit="1" customWidth="1"/>
    <col min="14" max="14" width="14" style="38" bestFit="1" customWidth="1"/>
    <col min="15" max="15" width="13.25" style="38" bestFit="1" customWidth="1"/>
    <col min="16" max="16" width="15.625" style="8" bestFit="1" customWidth="1"/>
    <col min="17" max="17" width="44.375" style="8" bestFit="1" customWidth="1"/>
    <col min="18" max="18" width="6.375" style="8" bestFit="1" customWidth="1"/>
    <col min="19" max="19" width="17.125" style="8" bestFit="1" customWidth="1"/>
    <col min="20" max="20" width="17.75" style="8" customWidth="1"/>
    <col min="21" max="21" width="6.375" style="8" bestFit="1" customWidth="1"/>
    <col min="22" max="22" width="4.625" style="8" bestFit="1" customWidth="1"/>
    <col min="23" max="23" width="16.125" style="8" bestFit="1" customWidth="1"/>
    <col min="24" max="16384" width="9" style="8"/>
  </cols>
  <sheetData>
    <row r="1" spans="1:23" ht="18" x14ac:dyDescent="0.2">
      <c r="A1" s="30" t="s">
        <v>0</v>
      </c>
      <c r="B1" s="30" t="s">
        <v>1</v>
      </c>
      <c r="C1" s="30" t="s">
        <v>2</v>
      </c>
      <c r="D1" s="30" t="s">
        <v>44</v>
      </c>
      <c r="E1" s="30" t="s">
        <v>45</v>
      </c>
      <c r="F1" s="30" t="s">
        <v>217</v>
      </c>
      <c r="G1" s="30" t="s">
        <v>43</v>
      </c>
      <c r="H1" s="30" t="s">
        <v>3</v>
      </c>
      <c r="I1" s="30" t="s">
        <v>4</v>
      </c>
      <c r="J1" s="30" t="s">
        <v>132</v>
      </c>
      <c r="K1" s="30" t="s">
        <v>5</v>
      </c>
      <c r="L1" s="30" t="s">
        <v>6</v>
      </c>
      <c r="M1" s="84" t="s">
        <v>497</v>
      </c>
      <c r="N1" s="30" t="s">
        <v>158</v>
      </c>
      <c r="O1" s="30" t="s">
        <v>159</v>
      </c>
      <c r="P1" s="30" t="s">
        <v>7</v>
      </c>
      <c r="Q1" s="30" t="s">
        <v>8</v>
      </c>
      <c r="R1" s="30" t="s">
        <v>9</v>
      </c>
      <c r="S1" s="31" t="s">
        <v>50</v>
      </c>
      <c r="T1" s="30" t="s">
        <v>11</v>
      </c>
      <c r="U1" s="30" t="s">
        <v>124</v>
      </c>
      <c r="V1" s="30" t="s">
        <v>131</v>
      </c>
      <c r="W1" s="30" t="s">
        <v>126</v>
      </c>
    </row>
    <row r="2" spans="1:23" ht="18" x14ac:dyDescent="0.2">
      <c r="A2" s="33">
        <v>1</v>
      </c>
      <c r="B2" s="33" t="s">
        <v>848</v>
      </c>
      <c r="C2" s="32" t="s">
        <v>831</v>
      </c>
      <c r="D2" s="113">
        <v>0.8</v>
      </c>
      <c r="E2" s="113"/>
      <c r="F2" s="113"/>
      <c r="G2" s="113"/>
      <c r="H2" s="113"/>
      <c r="I2" s="113"/>
      <c r="J2" s="113"/>
      <c r="K2" s="113"/>
      <c r="L2" s="113"/>
      <c r="M2" s="114"/>
      <c r="N2" s="113"/>
      <c r="O2" s="113"/>
      <c r="P2" s="108"/>
      <c r="Q2" s="108"/>
      <c r="R2" s="108"/>
      <c r="S2" s="110"/>
      <c r="T2" s="108"/>
      <c r="U2" s="108"/>
      <c r="V2" s="108"/>
      <c r="W2" s="108"/>
    </row>
    <row r="3" spans="1:23" ht="18" x14ac:dyDescent="0.2">
      <c r="A3" s="4">
        <v>2</v>
      </c>
      <c r="B3" s="4" t="s">
        <v>849</v>
      </c>
      <c r="C3" s="2" t="s">
        <v>832</v>
      </c>
      <c r="D3" s="115">
        <v>0.8</v>
      </c>
      <c r="E3" s="115"/>
      <c r="F3" s="115"/>
      <c r="G3" s="115"/>
      <c r="H3" s="115"/>
      <c r="I3" s="115"/>
      <c r="J3" s="115"/>
      <c r="K3" s="115"/>
      <c r="L3" s="115"/>
      <c r="M3" s="116"/>
      <c r="N3" s="115"/>
      <c r="O3" s="115"/>
      <c r="P3" s="96"/>
      <c r="Q3" s="96"/>
      <c r="R3" s="96"/>
      <c r="S3" s="107"/>
      <c r="T3" s="96"/>
      <c r="U3" s="96"/>
      <c r="V3" s="96"/>
      <c r="W3" s="96"/>
    </row>
    <row r="4" spans="1:23" ht="18" x14ac:dyDescent="0.2">
      <c r="A4" s="33">
        <v>3</v>
      </c>
      <c r="B4" s="33" t="s">
        <v>850</v>
      </c>
      <c r="C4" s="32" t="s">
        <v>833</v>
      </c>
      <c r="D4" s="113">
        <v>0.8</v>
      </c>
      <c r="E4" s="113"/>
      <c r="F4" s="113"/>
      <c r="G4" s="113"/>
      <c r="H4" s="113"/>
      <c r="I4" s="113"/>
      <c r="J4" s="113"/>
      <c r="K4" s="113"/>
      <c r="L4" s="113"/>
      <c r="M4" s="114"/>
      <c r="N4" s="113"/>
      <c r="O4" s="113"/>
      <c r="P4" s="108"/>
      <c r="Q4" s="108"/>
      <c r="R4" s="108"/>
      <c r="S4" s="110"/>
      <c r="T4" s="108"/>
      <c r="U4" s="108"/>
      <c r="V4" s="108"/>
      <c r="W4" s="108"/>
    </row>
    <row r="5" spans="1:23" ht="18" x14ac:dyDescent="0.2">
      <c r="A5" s="4">
        <v>4</v>
      </c>
      <c r="B5" s="4" t="s">
        <v>851</v>
      </c>
      <c r="C5" s="2" t="s">
        <v>834</v>
      </c>
      <c r="D5" s="115">
        <v>0.8</v>
      </c>
      <c r="E5" s="115"/>
      <c r="F5" s="115"/>
      <c r="G5" s="115"/>
      <c r="H5" s="115"/>
      <c r="I5" s="115"/>
      <c r="J5" s="115"/>
      <c r="K5" s="115"/>
      <c r="L5" s="115"/>
      <c r="M5" s="116"/>
      <c r="N5" s="115"/>
      <c r="O5" s="115"/>
      <c r="P5" s="96"/>
      <c r="Q5" s="96"/>
      <c r="R5" s="96"/>
      <c r="S5" s="107"/>
      <c r="T5" s="96"/>
      <c r="U5" s="96"/>
      <c r="V5" s="96"/>
      <c r="W5" s="96"/>
    </row>
    <row r="6" spans="1:23" ht="18" x14ac:dyDescent="0.2">
      <c r="A6" s="33">
        <v>5</v>
      </c>
      <c r="B6" s="33" t="s">
        <v>852</v>
      </c>
      <c r="C6" s="32" t="s">
        <v>835</v>
      </c>
      <c r="D6" s="113">
        <v>0.8</v>
      </c>
      <c r="E6" s="113"/>
      <c r="F6" s="113"/>
      <c r="G6" s="113"/>
      <c r="H6" s="113"/>
      <c r="I6" s="113"/>
      <c r="J6" s="113"/>
      <c r="K6" s="113"/>
      <c r="L6" s="113"/>
      <c r="M6" s="114"/>
      <c r="N6" s="113"/>
      <c r="O6" s="113"/>
      <c r="P6" s="108"/>
      <c r="Q6" s="108"/>
      <c r="R6" s="108"/>
      <c r="S6" s="110"/>
      <c r="T6" s="108"/>
      <c r="U6" s="108"/>
      <c r="V6" s="108"/>
      <c r="W6" s="108"/>
    </row>
    <row r="7" spans="1:23" ht="18" x14ac:dyDescent="0.2">
      <c r="A7" s="4">
        <v>6</v>
      </c>
      <c r="B7" s="4" t="s">
        <v>853</v>
      </c>
      <c r="C7" s="2" t="s">
        <v>836</v>
      </c>
      <c r="D7" s="115">
        <v>0.8</v>
      </c>
      <c r="E7" s="115"/>
      <c r="F7" s="115"/>
      <c r="G7" s="115"/>
      <c r="H7" s="115"/>
      <c r="I7" s="115"/>
      <c r="J7" s="115"/>
      <c r="K7" s="115"/>
      <c r="L7" s="115"/>
      <c r="M7" s="116"/>
      <c r="N7" s="115"/>
      <c r="O7" s="115"/>
      <c r="P7" s="96"/>
      <c r="Q7" s="96"/>
      <c r="R7" s="96"/>
      <c r="S7" s="107"/>
      <c r="T7" s="96"/>
      <c r="U7" s="96"/>
      <c r="V7" s="96"/>
      <c r="W7" s="96"/>
    </row>
    <row r="8" spans="1:23" ht="18" x14ac:dyDescent="0.2">
      <c r="A8" s="33">
        <v>7</v>
      </c>
      <c r="B8" s="33" t="s">
        <v>854</v>
      </c>
      <c r="C8" s="32" t="s">
        <v>837</v>
      </c>
      <c r="D8" s="113">
        <v>0.8</v>
      </c>
      <c r="E8" s="113"/>
      <c r="F8" s="113"/>
      <c r="G8" s="113"/>
      <c r="H8" s="113"/>
      <c r="I8" s="113"/>
      <c r="J8" s="113"/>
      <c r="K8" s="113"/>
      <c r="L8" s="113"/>
      <c r="M8" s="114"/>
      <c r="N8" s="113"/>
      <c r="O8" s="113"/>
      <c r="P8" s="108"/>
      <c r="Q8" s="108"/>
      <c r="R8" s="108"/>
      <c r="S8" s="110"/>
      <c r="T8" s="108"/>
      <c r="U8" s="108"/>
      <c r="V8" s="108"/>
      <c r="W8" s="108"/>
    </row>
    <row r="9" spans="1:23" ht="18" x14ac:dyDescent="0.2">
      <c r="A9" s="4">
        <v>8</v>
      </c>
      <c r="B9" s="4" t="s">
        <v>855</v>
      </c>
      <c r="C9" s="2" t="s">
        <v>838</v>
      </c>
      <c r="D9" s="115">
        <v>0.8</v>
      </c>
      <c r="E9" s="115"/>
      <c r="F9" s="115"/>
      <c r="G9" s="115"/>
      <c r="H9" s="115"/>
      <c r="I9" s="115"/>
      <c r="J9" s="115"/>
      <c r="K9" s="115"/>
      <c r="L9" s="115"/>
      <c r="M9" s="116"/>
      <c r="N9" s="115"/>
      <c r="O9" s="115"/>
      <c r="P9" s="96"/>
      <c r="Q9" s="96"/>
      <c r="R9" s="96"/>
      <c r="S9" s="107"/>
      <c r="T9" s="96"/>
      <c r="U9" s="96"/>
      <c r="V9" s="96"/>
      <c r="W9" s="96"/>
    </row>
    <row r="10" spans="1:23" ht="18" x14ac:dyDescent="0.2">
      <c r="A10" s="33">
        <v>9</v>
      </c>
      <c r="B10" s="33" t="s">
        <v>856</v>
      </c>
      <c r="C10" s="32" t="s">
        <v>839</v>
      </c>
      <c r="D10" s="113">
        <v>0.8</v>
      </c>
      <c r="E10" s="113"/>
      <c r="F10" s="113"/>
      <c r="G10" s="113"/>
      <c r="H10" s="113"/>
      <c r="I10" s="113"/>
      <c r="J10" s="113"/>
      <c r="K10" s="113"/>
      <c r="L10" s="113"/>
      <c r="M10" s="114"/>
      <c r="N10" s="113"/>
      <c r="O10" s="113"/>
      <c r="P10" s="108"/>
      <c r="Q10" s="108"/>
      <c r="R10" s="108"/>
      <c r="S10" s="110"/>
      <c r="T10" s="108"/>
      <c r="U10" s="108"/>
      <c r="V10" s="108"/>
      <c r="W10" s="108"/>
    </row>
    <row r="11" spans="1:23" ht="18" x14ac:dyDescent="0.2">
      <c r="A11" s="4">
        <v>10</v>
      </c>
      <c r="B11" s="4" t="s">
        <v>857</v>
      </c>
      <c r="C11" s="2" t="s">
        <v>840</v>
      </c>
      <c r="D11" s="115">
        <v>0.8</v>
      </c>
      <c r="E11" s="115"/>
      <c r="F11" s="115"/>
      <c r="G11" s="115"/>
      <c r="H11" s="115"/>
      <c r="I11" s="115"/>
      <c r="J11" s="115"/>
      <c r="K11" s="115"/>
      <c r="L11" s="115"/>
      <c r="M11" s="116"/>
      <c r="N11" s="115"/>
      <c r="O11" s="115"/>
      <c r="P11" s="96"/>
      <c r="Q11" s="96"/>
      <c r="R11" s="96"/>
      <c r="S11" s="107"/>
      <c r="T11" s="96"/>
      <c r="U11" s="96"/>
      <c r="V11" s="96"/>
      <c r="W11" s="96"/>
    </row>
    <row r="12" spans="1:23" ht="18" x14ac:dyDescent="0.2">
      <c r="A12" s="33">
        <v>11</v>
      </c>
      <c r="B12" s="33" t="s">
        <v>858</v>
      </c>
      <c r="C12" s="32" t="s">
        <v>841</v>
      </c>
      <c r="D12" s="113">
        <v>0.8</v>
      </c>
      <c r="E12" s="113"/>
      <c r="F12" s="113"/>
      <c r="G12" s="113"/>
      <c r="H12" s="113"/>
      <c r="I12" s="113"/>
      <c r="J12" s="113"/>
      <c r="K12" s="113"/>
      <c r="L12" s="113"/>
      <c r="M12" s="114"/>
      <c r="N12" s="113"/>
      <c r="O12" s="113"/>
      <c r="P12" s="108"/>
      <c r="Q12" s="108"/>
      <c r="R12" s="108"/>
      <c r="S12" s="110"/>
      <c r="T12" s="108"/>
      <c r="U12" s="108"/>
      <c r="V12" s="108"/>
      <c r="W12" s="108"/>
    </row>
    <row r="13" spans="1:23" ht="18" x14ac:dyDescent="0.2">
      <c r="A13" s="4">
        <v>12</v>
      </c>
      <c r="B13" s="4" t="s">
        <v>859</v>
      </c>
      <c r="C13" s="2" t="s">
        <v>842</v>
      </c>
      <c r="D13" s="115">
        <v>0.8</v>
      </c>
      <c r="E13" s="115"/>
      <c r="F13" s="115"/>
      <c r="G13" s="115"/>
      <c r="H13" s="115"/>
      <c r="I13" s="115"/>
      <c r="J13" s="115"/>
      <c r="K13" s="115"/>
      <c r="L13" s="115"/>
      <c r="M13" s="116"/>
      <c r="N13" s="115"/>
      <c r="O13" s="115"/>
      <c r="P13" s="96"/>
      <c r="Q13" s="96"/>
      <c r="R13" s="96"/>
      <c r="S13" s="107"/>
      <c r="T13" s="96"/>
      <c r="U13" s="96"/>
      <c r="V13" s="96"/>
      <c r="W13" s="96"/>
    </row>
    <row r="14" spans="1:23" ht="18" x14ac:dyDescent="0.2">
      <c r="A14" s="33">
        <v>13</v>
      </c>
      <c r="B14" s="33" t="s">
        <v>860</v>
      </c>
      <c r="C14" s="32" t="s">
        <v>843</v>
      </c>
      <c r="D14" s="113">
        <v>0.8</v>
      </c>
      <c r="E14" s="113"/>
      <c r="F14" s="113"/>
      <c r="G14" s="113"/>
      <c r="H14" s="113"/>
      <c r="I14" s="113"/>
      <c r="J14" s="113"/>
      <c r="K14" s="113"/>
      <c r="L14" s="113"/>
      <c r="M14" s="114"/>
      <c r="N14" s="113"/>
      <c r="O14" s="113"/>
      <c r="P14" s="108"/>
      <c r="Q14" s="108"/>
      <c r="R14" s="108"/>
      <c r="S14" s="110"/>
      <c r="T14" s="108"/>
      <c r="U14" s="108"/>
      <c r="V14" s="108"/>
      <c r="W14" s="108"/>
    </row>
    <row r="15" spans="1:23" ht="18" x14ac:dyDescent="0.2">
      <c r="A15" s="4">
        <v>14</v>
      </c>
      <c r="B15" s="4" t="s">
        <v>861</v>
      </c>
      <c r="C15" s="2" t="s">
        <v>844</v>
      </c>
      <c r="D15" s="115">
        <v>0.8</v>
      </c>
      <c r="E15" s="115"/>
      <c r="F15" s="115"/>
      <c r="G15" s="115"/>
      <c r="H15" s="115"/>
      <c r="I15" s="115"/>
      <c r="J15" s="115"/>
      <c r="K15" s="115"/>
      <c r="L15" s="115"/>
      <c r="M15" s="116"/>
      <c r="N15" s="115"/>
      <c r="O15" s="115"/>
      <c r="P15" s="96"/>
      <c r="Q15" s="96"/>
      <c r="R15" s="96"/>
      <c r="S15" s="107"/>
      <c r="T15" s="96"/>
      <c r="U15" s="96"/>
      <c r="V15" s="96"/>
      <c r="W15" s="96"/>
    </row>
    <row r="16" spans="1:23" ht="18" x14ac:dyDescent="0.2">
      <c r="A16" s="33">
        <v>15</v>
      </c>
      <c r="B16" s="33" t="s">
        <v>862</v>
      </c>
      <c r="C16" s="32" t="s">
        <v>845</v>
      </c>
      <c r="D16" s="113">
        <v>0.8</v>
      </c>
      <c r="E16" s="113"/>
      <c r="F16" s="113"/>
      <c r="G16" s="113"/>
      <c r="H16" s="113"/>
      <c r="I16" s="113"/>
      <c r="J16" s="113"/>
      <c r="K16" s="113"/>
      <c r="L16" s="113"/>
      <c r="M16" s="114"/>
      <c r="N16" s="113"/>
      <c r="O16" s="113"/>
      <c r="P16" s="108"/>
      <c r="Q16" s="108"/>
      <c r="R16" s="108"/>
      <c r="S16" s="110"/>
      <c r="T16" s="108"/>
      <c r="U16" s="108"/>
      <c r="V16" s="108"/>
      <c r="W16" s="108"/>
    </row>
    <row r="17" spans="1:23" ht="18" x14ac:dyDescent="0.2">
      <c r="A17" s="4">
        <v>16</v>
      </c>
      <c r="B17" s="4" t="s">
        <v>863</v>
      </c>
      <c r="C17" s="2" t="s">
        <v>846</v>
      </c>
      <c r="D17" s="115">
        <v>0.8</v>
      </c>
      <c r="E17" s="115"/>
      <c r="F17" s="115"/>
      <c r="G17" s="115"/>
      <c r="H17" s="115"/>
      <c r="I17" s="115"/>
      <c r="J17" s="115"/>
      <c r="K17" s="115"/>
      <c r="L17" s="115"/>
      <c r="M17" s="116"/>
      <c r="N17" s="115"/>
      <c r="O17" s="115"/>
      <c r="P17" s="96"/>
      <c r="Q17" s="96"/>
      <c r="R17" s="96"/>
      <c r="S17" s="107"/>
      <c r="T17" s="96"/>
      <c r="U17" s="96"/>
      <c r="V17" s="96"/>
      <c r="W17" s="96"/>
    </row>
    <row r="18" spans="1:23" ht="18" x14ac:dyDescent="0.2">
      <c r="A18" s="33">
        <v>17</v>
      </c>
      <c r="B18" s="33" t="s">
        <v>864</v>
      </c>
      <c r="C18" s="32" t="s">
        <v>847</v>
      </c>
      <c r="D18" s="113">
        <v>0.8</v>
      </c>
      <c r="E18" s="113"/>
      <c r="F18" s="113"/>
      <c r="G18" s="113"/>
      <c r="H18" s="113"/>
      <c r="I18" s="113"/>
      <c r="J18" s="113"/>
      <c r="K18" s="113"/>
      <c r="L18" s="113"/>
      <c r="M18" s="114"/>
      <c r="N18" s="113"/>
      <c r="O18" s="113"/>
      <c r="P18" s="108"/>
      <c r="Q18" s="108"/>
      <c r="R18" s="108"/>
      <c r="S18" s="110"/>
      <c r="T18" s="108"/>
      <c r="U18" s="108"/>
      <c r="V18" s="108"/>
      <c r="W18" s="108"/>
    </row>
    <row r="19" spans="1:23" ht="18" x14ac:dyDescent="0.2">
      <c r="A19" s="4">
        <v>18</v>
      </c>
      <c r="B19" s="4" t="s">
        <v>865</v>
      </c>
      <c r="C19" s="2" t="s">
        <v>879</v>
      </c>
      <c r="D19" s="4" t="s">
        <v>894</v>
      </c>
      <c r="E19" s="96"/>
      <c r="F19" s="96"/>
      <c r="G19" s="96"/>
      <c r="H19" s="96"/>
      <c r="I19" s="96"/>
      <c r="J19" s="96"/>
      <c r="K19" s="96"/>
      <c r="L19" s="96"/>
      <c r="M19" s="106"/>
      <c r="N19" s="96"/>
      <c r="O19" s="96"/>
      <c r="P19" s="96"/>
      <c r="Q19" s="96"/>
      <c r="R19" s="96"/>
      <c r="S19" s="107"/>
      <c r="T19" s="96"/>
      <c r="U19" s="96"/>
      <c r="V19" s="96"/>
      <c r="W19" s="96"/>
    </row>
    <row r="20" spans="1:23" ht="18" x14ac:dyDescent="0.2">
      <c r="A20" s="33">
        <v>19</v>
      </c>
      <c r="B20" s="33" t="s">
        <v>866</v>
      </c>
      <c r="C20" s="32" t="s">
        <v>880</v>
      </c>
      <c r="D20" s="33" t="s">
        <v>894</v>
      </c>
      <c r="E20" s="108"/>
      <c r="F20" s="108"/>
      <c r="G20" s="108"/>
      <c r="H20" s="108"/>
      <c r="I20" s="108"/>
      <c r="J20" s="108"/>
      <c r="K20" s="108"/>
      <c r="L20" s="108"/>
      <c r="M20" s="109"/>
      <c r="N20" s="108"/>
      <c r="O20" s="108"/>
      <c r="P20" s="108"/>
      <c r="Q20" s="108"/>
      <c r="R20" s="108"/>
      <c r="S20" s="110"/>
      <c r="T20" s="108"/>
      <c r="U20" s="108"/>
      <c r="V20" s="108"/>
      <c r="W20" s="108"/>
    </row>
    <row r="21" spans="1:23" ht="18" x14ac:dyDescent="0.2">
      <c r="A21" s="4">
        <v>20</v>
      </c>
      <c r="B21" s="4" t="s">
        <v>867</v>
      </c>
      <c r="C21" s="2" t="s">
        <v>881</v>
      </c>
      <c r="D21" s="4" t="s">
        <v>893</v>
      </c>
      <c r="E21" s="96"/>
      <c r="F21" s="96"/>
      <c r="G21" s="96"/>
      <c r="H21" s="96"/>
      <c r="I21" s="96"/>
      <c r="J21" s="96"/>
      <c r="K21" s="96"/>
      <c r="L21" s="96"/>
      <c r="M21" s="106"/>
      <c r="N21" s="96"/>
      <c r="O21" s="96"/>
      <c r="P21" s="96"/>
      <c r="Q21" s="96"/>
      <c r="R21" s="96"/>
      <c r="S21" s="107"/>
      <c r="T21" s="96"/>
      <c r="U21" s="96"/>
      <c r="V21" s="96"/>
      <c r="W21" s="96"/>
    </row>
    <row r="22" spans="1:23" ht="18" x14ac:dyDescent="0.2">
      <c r="A22" s="33">
        <v>21</v>
      </c>
      <c r="B22" s="33" t="s">
        <v>868</v>
      </c>
      <c r="C22" s="32" t="s">
        <v>882</v>
      </c>
      <c r="D22" s="33" t="s">
        <v>893</v>
      </c>
      <c r="E22" s="108"/>
      <c r="F22" s="108"/>
      <c r="G22" s="108"/>
      <c r="H22" s="108"/>
      <c r="I22" s="108"/>
      <c r="J22" s="108"/>
      <c r="K22" s="108"/>
      <c r="L22" s="108"/>
      <c r="M22" s="109"/>
      <c r="N22" s="108"/>
      <c r="O22" s="108"/>
      <c r="P22" s="108"/>
      <c r="Q22" s="108"/>
      <c r="R22" s="108"/>
      <c r="S22" s="110"/>
      <c r="T22" s="108"/>
      <c r="U22" s="108"/>
      <c r="V22" s="108"/>
      <c r="W22" s="108"/>
    </row>
    <row r="23" spans="1:23" ht="18" x14ac:dyDescent="0.2">
      <c r="A23" s="4">
        <v>22</v>
      </c>
      <c r="B23" s="4" t="s">
        <v>869</v>
      </c>
      <c r="C23" s="2" t="s">
        <v>883</v>
      </c>
      <c r="D23" s="4" t="s">
        <v>893</v>
      </c>
      <c r="E23" s="96"/>
      <c r="F23" s="96"/>
      <c r="G23" s="96"/>
      <c r="H23" s="96"/>
      <c r="I23" s="96"/>
      <c r="J23" s="96"/>
      <c r="K23" s="96"/>
      <c r="L23" s="96"/>
      <c r="M23" s="106"/>
      <c r="N23" s="96"/>
      <c r="O23" s="96"/>
      <c r="P23" s="96"/>
      <c r="Q23" s="96"/>
      <c r="R23" s="96"/>
      <c r="S23" s="107"/>
      <c r="T23" s="96"/>
      <c r="U23" s="96"/>
      <c r="V23" s="96"/>
      <c r="W23" s="96"/>
    </row>
    <row r="24" spans="1:23" ht="18" x14ac:dyDescent="0.2">
      <c r="A24" s="33">
        <v>23</v>
      </c>
      <c r="B24" s="33" t="s">
        <v>870</v>
      </c>
      <c r="C24" s="32" t="s">
        <v>884</v>
      </c>
      <c r="D24" s="33" t="s">
        <v>893</v>
      </c>
      <c r="E24" s="108"/>
      <c r="F24" s="108"/>
      <c r="G24" s="108"/>
      <c r="H24" s="108"/>
      <c r="I24" s="108"/>
      <c r="J24" s="108"/>
      <c r="K24" s="108"/>
      <c r="L24" s="108"/>
      <c r="M24" s="109"/>
      <c r="N24" s="108"/>
      <c r="O24" s="108"/>
      <c r="P24" s="108"/>
      <c r="Q24" s="108"/>
      <c r="R24" s="108"/>
      <c r="S24" s="110"/>
      <c r="T24" s="108"/>
      <c r="U24" s="108"/>
      <c r="V24" s="108"/>
      <c r="W24" s="108"/>
    </row>
    <row r="25" spans="1:23" ht="18" x14ac:dyDescent="0.2">
      <c r="A25" s="4">
        <v>24</v>
      </c>
      <c r="B25" s="4" t="s">
        <v>871</v>
      </c>
      <c r="C25" s="2" t="s">
        <v>885</v>
      </c>
      <c r="D25" s="4" t="s">
        <v>893</v>
      </c>
      <c r="E25" s="96"/>
      <c r="F25" s="96"/>
      <c r="G25" s="96"/>
      <c r="H25" s="96"/>
      <c r="I25" s="96"/>
      <c r="J25" s="96"/>
      <c r="K25" s="96"/>
      <c r="L25" s="96"/>
      <c r="M25" s="106"/>
      <c r="N25" s="96"/>
      <c r="O25" s="96"/>
      <c r="P25" s="96"/>
      <c r="Q25" s="96"/>
      <c r="R25" s="96"/>
      <c r="S25" s="107"/>
      <c r="T25" s="96"/>
      <c r="U25" s="96"/>
      <c r="V25" s="96"/>
      <c r="W25" s="96"/>
    </row>
    <row r="26" spans="1:23" ht="18" x14ac:dyDescent="0.2">
      <c r="A26" s="33">
        <v>25</v>
      </c>
      <c r="B26" s="33" t="s">
        <v>872</v>
      </c>
      <c r="C26" s="32" t="s">
        <v>886</v>
      </c>
      <c r="D26" s="33" t="s">
        <v>893</v>
      </c>
      <c r="E26" s="108"/>
      <c r="F26" s="108"/>
      <c r="G26" s="108"/>
      <c r="H26" s="108"/>
      <c r="I26" s="108"/>
      <c r="J26" s="108"/>
      <c r="K26" s="108"/>
      <c r="L26" s="108"/>
      <c r="M26" s="109"/>
      <c r="N26" s="108"/>
      <c r="O26" s="108"/>
      <c r="P26" s="108"/>
      <c r="Q26" s="108"/>
      <c r="R26" s="108"/>
      <c r="S26" s="110"/>
      <c r="T26" s="108"/>
      <c r="U26" s="108"/>
      <c r="V26" s="108"/>
      <c r="W26" s="108"/>
    </row>
    <row r="27" spans="1:23" ht="18" x14ac:dyDescent="0.2">
      <c r="A27" s="4">
        <v>26</v>
      </c>
      <c r="B27" s="4" t="s">
        <v>873</v>
      </c>
      <c r="C27" s="2" t="s">
        <v>887</v>
      </c>
      <c r="D27" s="4" t="s">
        <v>893</v>
      </c>
      <c r="E27" s="96"/>
      <c r="F27" s="96"/>
      <c r="G27" s="96"/>
      <c r="H27" s="96"/>
      <c r="I27" s="96"/>
      <c r="J27" s="96"/>
      <c r="K27" s="96"/>
      <c r="L27" s="96"/>
      <c r="M27" s="106"/>
      <c r="N27" s="96"/>
      <c r="O27" s="96"/>
      <c r="P27" s="96"/>
      <c r="Q27" s="96"/>
      <c r="R27" s="96"/>
      <c r="S27" s="107"/>
      <c r="T27" s="96"/>
      <c r="U27" s="96"/>
      <c r="V27" s="96"/>
      <c r="W27" s="96"/>
    </row>
    <row r="28" spans="1:23" ht="18" x14ac:dyDescent="0.2">
      <c r="A28" s="33">
        <v>27</v>
      </c>
      <c r="B28" s="33" t="s">
        <v>874</v>
      </c>
      <c r="C28" s="32" t="s">
        <v>888</v>
      </c>
      <c r="D28" s="33">
        <v>0.9</v>
      </c>
      <c r="E28" s="108"/>
      <c r="F28" s="108"/>
      <c r="G28" s="108"/>
      <c r="H28" s="108"/>
      <c r="I28" s="108"/>
      <c r="J28" s="108"/>
      <c r="K28" s="108"/>
      <c r="L28" s="108"/>
      <c r="M28" s="109"/>
      <c r="N28" s="108"/>
      <c r="O28" s="108"/>
      <c r="P28" s="108"/>
      <c r="Q28" s="108"/>
      <c r="R28" s="108"/>
      <c r="S28" s="110"/>
      <c r="T28" s="108"/>
      <c r="U28" s="108"/>
      <c r="V28" s="108"/>
      <c r="W28" s="108"/>
    </row>
    <row r="29" spans="1:23" ht="18" x14ac:dyDescent="0.2">
      <c r="A29" s="4">
        <v>28</v>
      </c>
      <c r="B29" s="4" t="s">
        <v>875</v>
      </c>
      <c r="C29" s="2" t="s">
        <v>889</v>
      </c>
      <c r="D29" s="4">
        <v>0.9</v>
      </c>
      <c r="E29" s="96"/>
      <c r="F29" s="96"/>
      <c r="G29" s="96"/>
      <c r="H29" s="96"/>
      <c r="I29" s="96"/>
      <c r="J29" s="96"/>
      <c r="K29" s="96"/>
      <c r="L29" s="96"/>
      <c r="M29" s="106"/>
      <c r="N29" s="96"/>
      <c r="O29" s="96"/>
      <c r="P29" s="96"/>
      <c r="Q29" s="96"/>
      <c r="R29" s="96"/>
      <c r="S29" s="107"/>
      <c r="T29" s="96"/>
      <c r="U29" s="96"/>
      <c r="V29" s="96"/>
      <c r="W29" s="96"/>
    </row>
    <row r="30" spans="1:23" ht="18" x14ac:dyDescent="0.2">
      <c r="A30" s="33">
        <v>29</v>
      </c>
      <c r="B30" s="33" t="s">
        <v>876</v>
      </c>
      <c r="C30" s="32" t="s">
        <v>890</v>
      </c>
      <c r="D30" s="33">
        <v>0.9</v>
      </c>
      <c r="E30" s="108"/>
      <c r="F30" s="108"/>
      <c r="G30" s="108"/>
      <c r="H30" s="108"/>
      <c r="I30" s="108"/>
      <c r="J30" s="108"/>
      <c r="K30" s="108"/>
      <c r="L30" s="108"/>
      <c r="M30" s="109"/>
      <c r="N30" s="108"/>
      <c r="O30" s="108"/>
      <c r="P30" s="108"/>
      <c r="Q30" s="108"/>
      <c r="R30" s="108"/>
      <c r="S30" s="110"/>
      <c r="T30" s="108"/>
      <c r="U30" s="108"/>
      <c r="V30" s="108"/>
      <c r="W30" s="108"/>
    </row>
    <row r="31" spans="1:23" ht="18" x14ac:dyDescent="0.2">
      <c r="A31" s="4">
        <v>30</v>
      </c>
      <c r="B31" s="4" t="s">
        <v>877</v>
      </c>
      <c r="C31" s="2" t="s">
        <v>891</v>
      </c>
      <c r="D31" s="4">
        <v>0.9</v>
      </c>
      <c r="E31" s="96"/>
      <c r="F31" s="96"/>
      <c r="G31" s="96"/>
      <c r="H31" s="96"/>
      <c r="I31" s="96"/>
      <c r="J31" s="96"/>
      <c r="K31" s="96"/>
      <c r="L31" s="96"/>
      <c r="M31" s="106"/>
      <c r="N31" s="96"/>
      <c r="O31" s="96"/>
      <c r="P31" s="96"/>
      <c r="Q31" s="96"/>
      <c r="R31" s="96"/>
      <c r="S31" s="107"/>
      <c r="T31" s="96"/>
      <c r="U31" s="96"/>
      <c r="V31" s="96"/>
      <c r="W31" s="96"/>
    </row>
    <row r="32" spans="1:23" ht="18" x14ac:dyDescent="0.2">
      <c r="A32" s="33">
        <v>31</v>
      </c>
      <c r="B32" s="33" t="s">
        <v>878</v>
      </c>
      <c r="C32" s="32" t="s">
        <v>892</v>
      </c>
      <c r="D32" s="33">
        <v>0.9</v>
      </c>
      <c r="E32" s="108"/>
      <c r="F32" s="108"/>
      <c r="G32" s="108"/>
      <c r="H32" s="108"/>
      <c r="I32" s="108"/>
      <c r="J32" s="108"/>
      <c r="K32" s="108"/>
      <c r="L32" s="108"/>
      <c r="M32" s="109"/>
      <c r="N32" s="108"/>
      <c r="O32" s="108"/>
      <c r="P32" s="108"/>
      <c r="Q32" s="108"/>
      <c r="R32" s="108"/>
      <c r="S32" s="110"/>
      <c r="T32" s="108"/>
      <c r="U32" s="108"/>
      <c r="V32" s="108"/>
      <c r="W32" s="108"/>
    </row>
    <row r="33" spans="1:28" s="13" customFormat="1" ht="16.5" x14ac:dyDescent="0.2">
      <c r="A33" s="4">
        <v>32</v>
      </c>
      <c r="B33" s="4" t="s">
        <v>278</v>
      </c>
      <c r="C33" s="2" t="s">
        <v>153</v>
      </c>
      <c r="D33" s="4">
        <v>0.9</v>
      </c>
      <c r="E33" s="4">
        <v>8</v>
      </c>
      <c r="F33" s="4" t="s">
        <v>63</v>
      </c>
      <c r="G33" s="4" t="s">
        <v>63</v>
      </c>
      <c r="H33" s="4" t="s">
        <v>63</v>
      </c>
      <c r="I33" s="4" t="s">
        <v>83</v>
      </c>
      <c r="J33" s="4" t="s">
        <v>133</v>
      </c>
      <c r="K33" s="4" t="s">
        <v>57</v>
      </c>
      <c r="L33" s="4" t="s">
        <v>136</v>
      </c>
      <c r="M33" s="76">
        <v>0.95469999999999999</v>
      </c>
      <c r="N33" s="9" t="s">
        <v>500</v>
      </c>
      <c r="O33" s="9" t="s">
        <v>436</v>
      </c>
      <c r="P33" s="4" t="s">
        <v>225</v>
      </c>
      <c r="Q33" s="4" t="s">
        <v>222</v>
      </c>
      <c r="R33" s="4" t="s">
        <v>60</v>
      </c>
      <c r="S33" s="4" t="s">
        <v>129</v>
      </c>
      <c r="T33" s="2"/>
      <c r="U33" s="56" t="s">
        <v>125</v>
      </c>
      <c r="V33" s="56" t="s">
        <v>125</v>
      </c>
      <c r="W33" s="56" t="s">
        <v>125</v>
      </c>
      <c r="X33" s="7"/>
      <c r="Y33" s="7"/>
      <c r="Z33" s="7"/>
      <c r="AA33" s="7"/>
      <c r="AB33" s="7"/>
    </row>
    <row r="34" spans="1:28" s="7" customFormat="1" ht="15.6" customHeight="1" x14ac:dyDescent="0.2">
      <c r="A34" s="33">
        <v>33</v>
      </c>
      <c r="B34" s="33" t="s">
        <v>454</v>
      </c>
      <c r="C34" s="32" t="s">
        <v>84</v>
      </c>
      <c r="D34" s="33">
        <v>0.9</v>
      </c>
      <c r="E34" s="33">
        <v>8</v>
      </c>
      <c r="F34" s="33" t="s">
        <v>63</v>
      </c>
      <c r="G34" s="33" t="s">
        <v>63</v>
      </c>
      <c r="H34" s="33" t="s">
        <v>63</v>
      </c>
      <c r="I34" s="33" t="s">
        <v>83</v>
      </c>
      <c r="J34" s="33" t="s">
        <v>133</v>
      </c>
      <c r="K34" s="33" t="s">
        <v>57</v>
      </c>
      <c r="L34" s="33" t="s">
        <v>136</v>
      </c>
      <c r="M34" s="74" t="s">
        <v>64</v>
      </c>
      <c r="N34" s="74" t="s">
        <v>64</v>
      </c>
      <c r="O34" s="74" t="s">
        <v>64</v>
      </c>
      <c r="P34" s="33" t="s">
        <v>225</v>
      </c>
      <c r="Q34" s="33" t="s">
        <v>222</v>
      </c>
      <c r="R34" s="33" t="s">
        <v>60</v>
      </c>
      <c r="S34" s="33" t="s">
        <v>129</v>
      </c>
      <c r="T34" s="32"/>
      <c r="U34" s="42"/>
      <c r="V34" s="42"/>
      <c r="W34" s="42"/>
    </row>
    <row r="35" spans="1:28" ht="15.6" customHeight="1" x14ac:dyDescent="0.2">
      <c r="A35" s="4">
        <v>34</v>
      </c>
      <c r="B35" s="4" t="s">
        <v>455</v>
      </c>
      <c r="C35" s="3" t="s">
        <v>152</v>
      </c>
      <c r="D35" s="4">
        <v>0.9</v>
      </c>
      <c r="E35" s="4">
        <v>8</v>
      </c>
      <c r="F35" s="4" t="s">
        <v>63</v>
      </c>
      <c r="G35" s="4" t="s">
        <v>63</v>
      </c>
      <c r="H35" s="4" t="s">
        <v>63</v>
      </c>
      <c r="I35" s="4" t="s">
        <v>83</v>
      </c>
      <c r="J35" s="4" t="s">
        <v>133</v>
      </c>
      <c r="K35" s="4" t="s">
        <v>57</v>
      </c>
      <c r="L35" s="4" t="s">
        <v>136</v>
      </c>
      <c r="M35" s="76">
        <v>0.95469999999999999</v>
      </c>
      <c r="N35" s="9" t="s">
        <v>500</v>
      </c>
      <c r="O35" s="9" t="s">
        <v>436</v>
      </c>
      <c r="P35" s="4" t="s">
        <v>224</v>
      </c>
      <c r="Q35" s="4" t="s">
        <v>221</v>
      </c>
      <c r="R35" s="4" t="s">
        <v>60</v>
      </c>
      <c r="S35" s="4" t="s">
        <v>129</v>
      </c>
      <c r="T35" s="2"/>
      <c r="U35" s="56" t="s">
        <v>125</v>
      </c>
      <c r="V35" s="56" t="s">
        <v>125</v>
      </c>
      <c r="W35" s="56" t="s">
        <v>125</v>
      </c>
    </row>
    <row r="36" spans="1:28" ht="15.6" customHeight="1" x14ac:dyDescent="0.2">
      <c r="A36" s="33">
        <v>35</v>
      </c>
      <c r="B36" s="33" t="s">
        <v>461</v>
      </c>
      <c r="C36" s="34" t="s">
        <v>85</v>
      </c>
      <c r="D36" s="33">
        <v>0.9</v>
      </c>
      <c r="E36" s="33">
        <v>8</v>
      </c>
      <c r="F36" s="33" t="s">
        <v>63</v>
      </c>
      <c r="G36" s="33" t="s">
        <v>63</v>
      </c>
      <c r="H36" s="33" t="s">
        <v>63</v>
      </c>
      <c r="I36" s="33" t="s">
        <v>83</v>
      </c>
      <c r="J36" s="33" t="s">
        <v>133</v>
      </c>
      <c r="K36" s="33" t="s">
        <v>57</v>
      </c>
      <c r="L36" s="33" t="s">
        <v>136</v>
      </c>
      <c r="M36" s="74" t="s">
        <v>64</v>
      </c>
      <c r="N36" s="74" t="s">
        <v>64</v>
      </c>
      <c r="O36" s="74" t="s">
        <v>64</v>
      </c>
      <c r="P36" s="33" t="s">
        <v>224</v>
      </c>
      <c r="Q36" s="33" t="s">
        <v>221</v>
      </c>
      <c r="R36" s="33" t="s">
        <v>60</v>
      </c>
      <c r="S36" s="33" t="s">
        <v>129</v>
      </c>
      <c r="T36" s="32"/>
      <c r="U36" s="42"/>
      <c r="V36" s="42"/>
      <c r="W36" s="42"/>
    </row>
    <row r="37" spans="1:28" ht="15.6" customHeight="1" x14ac:dyDescent="0.2">
      <c r="A37" s="4">
        <v>36</v>
      </c>
      <c r="B37" s="4" t="s">
        <v>280</v>
      </c>
      <c r="C37" s="3" t="s">
        <v>151</v>
      </c>
      <c r="D37" s="4">
        <v>0.9</v>
      </c>
      <c r="E37" s="4">
        <v>8</v>
      </c>
      <c r="F37" s="4" t="s">
        <v>63</v>
      </c>
      <c r="G37" s="4" t="s">
        <v>63</v>
      </c>
      <c r="H37" s="4" t="s">
        <v>63</v>
      </c>
      <c r="I37" s="4" t="s">
        <v>83</v>
      </c>
      <c r="J37" s="4" t="s">
        <v>133</v>
      </c>
      <c r="K37" s="4" t="s">
        <v>57</v>
      </c>
      <c r="L37" s="4" t="s">
        <v>136</v>
      </c>
      <c r="M37" s="76">
        <v>0.95469999999999999</v>
      </c>
      <c r="N37" s="9" t="s">
        <v>500</v>
      </c>
      <c r="O37" s="9" t="s">
        <v>436</v>
      </c>
      <c r="P37" s="4" t="s">
        <v>224</v>
      </c>
      <c r="Q37" s="4" t="s">
        <v>221</v>
      </c>
      <c r="R37" s="4" t="s">
        <v>60</v>
      </c>
      <c r="S37" s="4" t="s">
        <v>129</v>
      </c>
      <c r="T37" s="2"/>
      <c r="U37" s="56" t="s">
        <v>125</v>
      </c>
      <c r="V37" s="56" t="s">
        <v>125</v>
      </c>
      <c r="W37" s="56" t="s">
        <v>125</v>
      </c>
    </row>
    <row r="38" spans="1:28" ht="15.6" customHeight="1" x14ac:dyDescent="0.2">
      <c r="A38" s="33">
        <v>37</v>
      </c>
      <c r="B38" s="33" t="s">
        <v>460</v>
      </c>
      <c r="C38" s="34" t="s">
        <v>86</v>
      </c>
      <c r="D38" s="33">
        <v>0.9</v>
      </c>
      <c r="E38" s="33">
        <v>8</v>
      </c>
      <c r="F38" s="33" t="s">
        <v>63</v>
      </c>
      <c r="G38" s="33" t="s">
        <v>63</v>
      </c>
      <c r="H38" s="33" t="s">
        <v>63</v>
      </c>
      <c r="I38" s="33" t="s">
        <v>83</v>
      </c>
      <c r="J38" s="33" t="s">
        <v>133</v>
      </c>
      <c r="K38" s="33" t="s">
        <v>57</v>
      </c>
      <c r="L38" s="33" t="s">
        <v>136</v>
      </c>
      <c r="M38" s="74" t="s">
        <v>64</v>
      </c>
      <c r="N38" s="74" t="s">
        <v>64</v>
      </c>
      <c r="O38" s="74" t="s">
        <v>64</v>
      </c>
      <c r="P38" s="33" t="s">
        <v>224</v>
      </c>
      <c r="Q38" s="33" t="s">
        <v>221</v>
      </c>
      <c r="R38" s="33" t="s">
        <v>60</v>
      </c>
      <c r="S38" s="33" t="s">
        <v>129</v>
      </c>
      <c r="T38" s="32"/>
      <c r="U38" s="42"/>
      <c r="V38" s="42"/>
      <c r="W38" s="42"/>
    </row>
    <row r="39" spans="1:28" s="83" customFormat="1" ht="15.6" customHeight="1" x14ac:dyDescent="0.2">
      <c r="A39" s="4">
        <v>38</v>
      </c>
      <c r="B39" s="4" t="s">
        <v>281</v>
      </c>
      <c r="C39" s="3" t="s">
        <v>150</v>
      </c>
      <c r="D39" s="4">
        <v>0.9</v>
      </c>
      <c r="E39" s="4">
        <v>8</v>
      </c>
      <c r="F39" s="4" t="s">
        <v>63</v>
      </c>
      <c r="G39" s="4" t="s">
        <v>63</v>
      </c>
      <c r="H39" s="4" t="s">
        <v>63</v>
      </c>
      <c r="I39" s="4" t="s">
        <v>83</v>
      </c>
      <c r="J39" s="4" t="s">
        <v>133</v>
      </c>
      <c r="K39" s="4" t="s">
        <v>57</v>
      </c>
      <c r="L39" s="4" t="s">
        <v>136</v>
      </c>
      <c r="M39" s="76">
        <v>0.95469999999999999</v>
      </c>
      <c r="N39" s="9" t="s">
        <v>500</v>
      </c>
      <c r="O39" s="9" t="s">
        <v>436</v>
      </c>
      <c r="P39" s="4" t="s">
        <v>224</v>
      </c>
      <c r="Q39" s="4" t="s">
        <v>221</v>
      </c>
      <c r="R39" s="4" t="s">
        <v>60</v>
      </c>
      <c r="S39" s="4" t="s">
        <v>129</v>
      </c>
      <c r="T39" s="2"/>
      <c r="U39" s="56" t="s">
        <v>125</v>
      </c>
      <c r="V39" s="56" t="s">
        <v>125</v>
      </c>
      <c r="W39" s="56" t="s">
        <v>125</v>
      </c>
      <c r="X39" s="8"/>
      <c r="Y39" s="8"/>
      <c r="Z39" s="8"/>
      <c r="AA39" s="8"/>
      <c r="AB39" s="8"/>
    </row>
    <row r="40" spans="1:28" ht="15.6" customHeight="1" x14ac:dyDescent="0.2">
      <c r="A40" s="33">
        <v>39</v>
      </c>
      <c r="B40" s="33" t="s">
        <v>459</v>
      </c>
      <c r="C40" s="34" t="s">
        <v>87</v>
      </c>
      <c r="D40" s="33">
        <v>0.9</v>
      </c>
      <c r="E40" s="33">
        <v>8</v>
      </c>
      <c r="F40" s="33" t="s">
        <v>63</v>
      </c>
      <c r="G40" s="33" t="s">
        <v>63</v>
      </c>
      <c r="H40" s="33" t="s">
        <v>63</v>
      </c>
      <c r="I40" s="33" t="s">
        <v>83</v>
      </c>
      <c r="J40" s="33" t="s">
        <v>133</v>
      </c>
      <c r="K40" s="33" t="s">
        <v>57</v>
      </c>
      <c r="L40" s="33" t="s">
        <v>136</v>
      </c>
      <c r="M40" s="74" t="s">
        <v>64</v>
      </c>
      <c r="N40" s="74" t="s">
        <v>64</v>
      </c>
      <c r="O40" s="74" t="s">
        <v>64</v>
      </c>
      <c r="P40" s="33" t="s">
        <v>224</v>
      </c>
      <c r="Q40" s="33" t="s">
        <v>221</v>
      </c>
      <c r="R40" s="33" t="s">
        <v>60</v>
      </c>
      <c r="S40" s="33" t="s">
        <v>129</v>
      </c>
      <c r="T40" s="32"/>
      <c r="U40" s="42"/>
      <c r="V40" s="42"/>
      <c r="W40" s="42"/>
    </row>
    <row r="41" spans="1:28" s="83" customFormat="1" ht="15.6" customHeight="1" x14ac:dyDescent="0.2">
      <c r="A41" s="4">
        <v>40</v>
      </c>
      <c r="B41" s="4" t="s">
        <v>407</v>
      </c>
      <c r="C41" s="3" t="s">
        <v>149</v>
      </c>
      <c r="D41" s="4">
        <v>0.9</v>
      </c>
      <c r="E41" s="4">
        <v>8</v>
      </c>
      <c r="F41" s="4" t="s">
        <v>63</v>
      </c>
      <c r="G41" s="4" t="s">
        <v>63</v>
      </c>
      <c r="H41" s="4" t="s">
        <v>63</v>
      </c>
      <c r="I41" s="4" t="s">
        <v>83</v>
      </c>
      <c r="J41" s="4" t="s">
        <v>133</v>
      </c>
      <c r="K41" s="4" t="s">
        <v>57</v>
      </c>
      <c r="L41" s="4" t="s">
        <v>136</v>
      </c>
      <c r="M41" s="76">
        <v>0.95469999999999999</v>
      </c>
      <c r="N41" s="9" t="s">
        <v>500</v>
      </c>
      <c r="O41" s="9" t="s">
        <v>436</v>
      </c>
      <c r="P41" s="4" t="s">
        <v>224</v>
      </c>
      <c r="Q41" s="4" t="s">
        <v>221</v>
      </c>
      <c r="R41" s="4" t="s">
        <v>60</v>
      </c>
      <c r="S41" s="4" t="s">
        <v>129</v>
      </c>
      <c r="T41" s="2"/>
      <c r="U41" s="56" t="s">
        <v>125</v>
      </c>
      <c r="V41" s="56" t="s">
        <v>125</v>
      </c>
      <c r="W41" s="56" t="s">
        <v>125</v>
      </c>
      <c r="X41" s="8"/>
      <c r="Y41" s="8"/>
      <c r="Z41" s="8"/>
      <c r="AA41" s="8"/>
      <c r="AB41" s="8"/>
    </row>
    <row r="42" spans="1:28" ht="15.6" customHeight="1" x14ac:dyDescent="0.2">
      <c r="A42" s="33">
        <v>41</v>
      </c>
      <c r="B42" s="33" t="s">
        <v>458</v>
      </c>
      <c r="C42" s="34" t="s">
        <v>88</v>
      </c>
      <c r="D42" s="33">
        <v>0.9</v>
      </c>
      <c r="E42" s="33">
        <v>8</v>
      </c>
      <c r="F42" s="33" t="s">
        <v>63</v>
      </c>
      <c r="G42" s="33" t="s">
        <v>63</v>
      </c>
      <c r="H42" s="33" t="s">
        <v>63</v>
      </c>
      <c r="I42" s="33" t="s">
        <v>83</v>
      </c>
      <c r="J42" s="33" t="s">
        <v>133</v>
      </c>
      <c r="K42" s="33" t="s">
        <v>57</v>
      </c>
      <c r="L42" s="33" t="s">
        <v>136</v>
      </c>
      <c r="M42" s="74" t="s">
        <v>64</v>
      </c>
      <c r="N42" s="74" t="s">
        <v>64</v>
      </c>
      <c r="O42" s="74" t="s">
        <v>64</v>
      </c>
      <c r="P42" s="33" t="s">
        <v>224</v>
      </c>
      <c r="Q42" s="33" t="s">
        <v>221</v>
      </c>
      <c r="R42" s="33" t="s">
        <v>60</v>
      </c>
      <c r="S42" s="33" t="s">
        <v>129</v>
      </c>
      <c r="T42" s="32"/>
      <c r="U42" s="42"/>
      <c r="V42" s="42"/>
      <c r="W42" s="42"/>
    </row>
    <row r="43" spans="1:28" ht="15.6" customHeight="1" x14ac:dyDescent="0.2">
      <c r="A43" s="4">
        <v>42</v>
      </c>
      <c r="B43" s="4" t="s">
        <v>282</v>
      </c>
      <c r="C43" s="3" t="s">
        <v>148</v>
      </c>
      <c r="D43" s="4">
        <v>0.9</v>
      </c>
      <c r="E43" s="4">
        <v>8</v>
      </c>
      <c r="F43" s="4" t="s">
        <v>63</v>
      </c>
      <c r="G43" s="4" t="s">
        <v>63</v>
      </c>
      <c r="H43" s="4" t="s">
        <v>63</v>
      </c>
      <c r="I43" s="4" t="s">
        <v>83</v>
      </c>
      <c r="J43" s="4" t="s">
        <v>133</v>
      </c>
      <c r="K43" s="4" t="s">
        <v>57</v>
      </c>
      <c r="L43" s="4" t="s">
        <v>136</v>
      </c>
      <c r="M43" s="76">
        <v>0.95469999999999999</v>
      </c>
      <c r="N43" s="9" t="s">
        <v>500</v>
      </c>
      <c r="O43" s="9" t="s">
        <v>436</v>
      </c>
      <c r="P43" s="4" t="s">
        <v>224</v>
      </c>
      <c r="Q43" s="4" t="s">
        <v>221</v>
      </c>
      <c r="R43" s="4" t="s">
        <v>60</v>
      </c>
      <c r="S43" s="4" t="s">
        <v>129</v>
      </c>
      <c r="T43" s="2"/>
      <c r="U43" s="56" t="s">
        <v>125</v>
      </c>
      <c r="V43" s="56" t="s">
        <v>125</v>
      </c>
      <c r="W43" s="56" t="s">
        <v>125</v>
      </c>
    </row>
    <row r="44" spans="1:28" s="83" customFormat="1" ht="15.6" customHeight="1" x14ac:dyDescent="0.2">
      <c r="A44" s="33">
        <v>43</v>
      </c>
      <c r="B44" s="33" t="s">
        <v>457</v>
      </c>
      <c r="C44" s="34" t="s">
        <v>89</v>
      </c>
      <c r="D44" s="33">
        <v>0.9</v>
      </c>
      <c r="E44" s="33">
        <v>8</v>
      </c>
      <c r="F44" s="33" t="s">
        <v>63</v>
      </c>
      <c r="G44" s="33" t="s">
        <v>63</v>
      </c>
      <c r="H44" s="33" t="s">
        <v>63</v>
      </c>
      <c r="I44" s="33" t="s">
        <v>83</v>
      </c>
      <c r="J44" s="33" t="s">
        <v>133</v>
      </c>
      <c r="K44" s="33" t="s">
        <v>57</v>
      </c>
      <c r="L44" s="33" t="s">
        <v>136</v>
      </c>
      <c r="M44" s="74" t="s">
        <v>64</v>
      </c>
      <c r="N44" s="74" t="s">
        <v>64</v>
      </c>
      <c r="O44" s="74" t="s">
        <v>64</v>
      </c>
      <c r="P44" s="33" t="s">
        <v>224</v>
      </c>
      <c r="Q44" s="33" t="s">
        <v>221</v>
      </c>
      <c r="R44" s="33" t="s">
        <v>60</v>
      </c>
      <c r="S44" s="33" t="s">
        <v>129</v>
      </c>
      <c r="T44" s="32"/>
      <c r="U44" s="42"/>
      <c r="V44" s="42"/>
      <c r="W44" s="42"/>
      <c r="X44" s="8"/>
      <c r="Y44" s="8"/>
      <c r="Z44" s="8"/>
      <c r="AA44" s="8"/>
      <c r="AB44" s="8"/>
    </row>
    <row r="45" spans="1:28" ht="15.6" customHeight="1" x14ac:dyDescent="0.2">
      <c r="A45" s="4">
        <v>44</v>
      </c>
      <c r="B45" s="4" t="s">
        <v>456</v>
      </c>
      <c r="C45" s="3" t="s">
        <v>147</v>
      </c>
      <c r="D45" s="4">
        <v>0.9</v>
      </c>
      <c r="E45" s="4">
        <v>8</v>
      </c>
      <c r="F45" s="4" t="s">
        <v>63</v>
      </c>
      <c r="G45" s="4" t="s">
        <v>63</v>
      </c>
      <c r="H45" s="4" t="s">
        <v>63</v>
      </c>
      <c r="I45" s="4" t="s">
        <v>83</v>
      </c>
      <c r="J45" s="4" t="s">
        <v>133</v>
      </c>
      <c r="K45" s="4" t="s">
        <v>57</v>
      </c>
      <c r="L45" s="4" t="s">
        <v>136</v>
      </c>
      <c r="M45" s="76">
        <v>0.95469999999999999</v>
      </c>
      <c r="N45" s="9" t="s">
        <v>500</v>
      </c>
      <c r="O45" s="9" t="s">
        <v>436</v>
      </c>
      <c r="P45" s="4" t="s">
        <v>224</v>
      </c>
      <c r="Q45" s="4" t="s">
        <v>221</v>
      </c>
      <c r="R45" s="4" t="s">
        <v>60</v>
      </c>
      <c r="S45" s="4" t="s">
        <v>129</v>
      </c>
      <c r="T45" s="2"/>
      <c r="U45" s="56" t="s">
        <v>125</v>
      </c>
      <c r="V45" s="56" t="s">
        <v>125</v>
      </c>
      <c r="W45" s="56" t="s">
        <v>125</v>
      </c>
    </row>
    <row r="46" spans="1:28" s="83" customFormat="1" ht="15.6" customHeight="1" x14ac:dyDescent="0.2">
      <c r="A46" s="33">
        <v>45</v>
      </c>
      <c r="B46" s="33" t="s">
        <v>464</v>
      </c>
      <c r="C46" s="34" t="s">
        <v>90</v>
      </c>
      <c r="D46" s="33">
        <v>0.9</v>
      </c>
      <c r="E46" s="33">
        <v>8</v>
      </c>
      <c r="F46" s="33" t="s">
        <v>63</v>
      </c>
      <c r="G46" s="33" t="s">
        <v>63</v>
      </c>
      <c r="H46" s="33" t="s">
        <v>63</v>
      </c>
      <c r="I46" s="33" t="s">
        <v>83</v>
      </c>
      <c r="J46" s="33" t="s">
        <v>133</v>
      </c>
      <c r="K46" s="33" t="s">
        <v>57</v>
      </c>
      <c r="L46" s="33" t="s">
        <v>136</v>
      </c>
      <c r="M46" s="74" t="s">
        <v>64</v>
      </c>
      <c r="N46" s="74" t="s">
        <v>64</v>
      </c>
      <c r="O46" s="74" t="s">
        <v>64</v>
      </c>
      <c r="P46" s="33" t="s">
        <v>224</v>
      </c>
      <c r="Q46" s="33" t="s">
        <v>221</v>
      </c>
      <c r="R46" s="33" t="s">
        <v>60</v>
      </c>
      <c r="S46" s="33" t="s">
        <v>129</v>
      </c>
      <c r="T46" s="32"/>
      <c r="U46" s="42"/>
      <c r="V46" s="42"/>
      <c r="W46" s="42"/>
      <c r="X46" s="8"/>
      <c r="Y46" s="8"/>
      <c r="Z46" s="8"/>
      <c r="AA46" s="8"/>
      <c r="AB46" s="8"/>
    </row>
    <row r="47" spans="1:28" s="83" customFormat="1" ht="15.6" customHeight="1" x14ac:dyDescent="0.2">
      <c r="A47" s="4">
        <v>46</v>
      </c>
      <c r="B47" s="4" t="s">
        <v>283</v>
      </c>
      <c r="C47" s="3" t="s">
        <v>146</v>
      </c>
      <c r="D47" s="4">
        <v>0.9</v>
      </c>
      <c r="E47" s="4">
        <v>8</v>
      </c>
      <c r="F47" s="4" t="s">
        <v>63</v>
      </c>
      <c r="G47" s="4" t="s">
        <v>63</v>
      </c>
      <c r="H47" s="4" t="s">
        <v>63</v>
      </c>
      <c r="I47" s="4" t="s">
        <v>83</v>
      </c>
      <c r="J47" s="4" t="s">
        <v>133</v>
      </c>
      <c r="K47" s="4" t="s">
        <v>57</v>
      </c>
      <c r="L47" s="4" t="s">
        <v>136</v>
      </c>
      <c r="M47" s="76">
        <v>0.95469999999999999</v>
      </c>
      <c r="N47" s="9" t="s">
        <v>500</v>
      </c>
      <c r="O47" s="9" t="s">
        <v>436</v>
      </c>
      <c r="P47" s="4" t="s">
        <v>224</v>
      </c>
      <c r="Q47" s="4" t="s">
        <v>221</v>
      </c>
      <c r="R47" s="4" t="s">
        <v>60</v>
      </c>
      <c r="S47" s="4" t="s">
        <v>129</v>
      </c>
      <c r="T47" s="2"/>
      <c r="U47" s="56" t="s">
        <v>125</v>
      </c>
      <c r="V47" s="56" t="s">
        <v>125</v>
      </c>
      <c r="W47" s="56" t="s">
        <v>125</v>
      </c>
      <c r="X47" s="8"/>
      <c r="Y47" s="8"/>
      <c r="Z47" s="8"/>
      <c r="AA47" s="8"/>
      <c r="AB47" s="8"/>
    </row>
    <row r="48" spans="1:28" ht="16.5" x14ac:dyDescent="0.2">
      <c r="A48" s="33">
        <v>47</v>
      </c>
      <c r="B48" s="33" t="s">
        <v>468</v>
      </c>
      <c r="C48" s="34" t="s">
        <v>91</v>
      </c>
      <c r="D48" s="33">
        <v>0.9</v>
      </c>
      <c r="E48" s="33">
        <v>8</v>
      </c>
      <c r="F48" s="33" t="s">
        <v>63</v>
      </c>
      <c r="G48" s="33" t="s">
        <v>63</v>
      </c>
      <c r="H48" s="33" t="s">
        <v>63</v>
      </c>
      <c r="I48" s="33" t="s">
        <v>83</v>
      </c>
      <c r="J48" s="33" t="s">
        <v>133</v>
      </c>
      <c r="K48" s="33" t="s">
        <v>57</v>
      </c>
      <c r="L48" s="33" t="s">
        <v>136</v>
      </c>
      <c r="M48" s="74" t="s">
        <v>64</v>
      </c>
      <c r="N48" s="74" t="s">
        <v>64</v>
      </c>
      <c r="O48" s="74" t="s">
        <v>64</v>
      </c>
      <c r="P48" s="33" t="s">
        <v>224</v>
      </c>
      <c r="Q48" s="33" t="s">
        <v>221</v>
      </c>
      <c r="R48" s="33" t="s">
        <v>60</v>
      </c>
      <c r="S48" s="33" t="s">
        <v>129</v>
      </c>
      <c r="T48" s="32"/>
      <c r="U48" s="42"/>
      <c r="V48" s="42"/>
      <c r="W48" s="42"/>
    </row>
    <row r="49" spans="1:28" s="83" customFormat="1" ht="15.6" customHeight="1" x14ac:dyDescent="0.2">
      <c r="A49" s="4">
        <v>48</v>
      </c>
      <c r="B49" s="4" t="s">
        <v>467</v>
      </c>
      <c r="C49" s="3" t="s">
        <v>145</v>
      </c>
      <c r="D49" s="4">
        <v>0.9</v>
      </c>
      <c r="E49" s="4">
        <v>8</v>
      </c>
      <c r="F49" s="4" t="s">
        <v>63</v>
      </c>
      <c r="G49" s="4" t="s">
        <v>63</v>
      </c>
      <c r="H49" s="4" t="s">
        <v>63</v>
      </c>
      <c r="I49" s="4" t="s">
        <v>83</v>
      </c>
      <c r="J49" s="4" t="s">
        <v>133</v>
      </c>
      <c r="K49" s="4" t="s">
        <v>57</v>
      </c>
      <c r="L49" s="4" t="s">
        <v>136</v>
      </c>
      <c r="M49" s="76">
        <v>0.95469999999999999</v>
      </c>
      <c r="N49" s="9" t="s">
        <v>500</v>
      </c>
      <c r="O49" s="9" t="s">
        <v>436</v>
      </c>
      <c r="P49" s="4" t="s">
        <v>224</v>
      </c>
      <c r="Q49" s="4" t="s">
        <v>221</v>
      </c>
      <c r="R49" s="4" t="s">
        <v>60</v>
      </c>
      <c r="S49" s="4" t="s">
        <v>129</v>
      </c>
      <c r="T49" s="2"/>
      <c r="U49" s="56" t="s">
        <v>125</v>
      </c>
      <c r="V49" s="56" t="s">
        <v>125</v>
      </c>
      <c r="W49" s="56" t="s">
        <v>125</v>
      </c>
      <c r="X49" s="8"/>
      <c r="Y49" s="8"/>
      <c r="Z49" s="8"/>
      <c r="AA49" s="8"/>
      <c r="AB49" s="8"/>
    </row>
    <row r="50" spans="1:28" ht="16.5" x14ac:dyDescent="0.2">
      <c r="A50" s="33">
        <v>49</v>
      </c>
      <c r="B50" s="33" t="s">
        <v>466</v>
      </c>
      <c r="C50" s="34" t="s">
        <v>92</v>
      </c>
      <c r="D50" s="33">
        <v>0.9</v>
      </c>
      <c r="E50" s="33">
        <v>8</v>
      </c>
      <c r="F50" s="33" t="s">
        <v>63</v>
      </c>
      <c r="G50" s="33" t="s">
        <v>63</v>
      </c>
      <c r="H50" s="33" t="s">
        <v>63</v>
      </c>
      <c r="I50" s="33" t="s">
        <v>83</v>
      </c>
      <c r="J50" s="33" t="s">
        <v>133</v>
      </c>
      <c r="K50" s="33" t="s">
        <v>57</v>
      </c>
      <c r="L50" s="33" t="s">
        <v>136</v>
      </c>
      <c r="M50" s="74" t="s">
        <v>64</v>
      </c>
      <c r="N50" s="74" t="s">
        <v>64</v>
      </c>
      <c r="O50" s="74" t="s">
        <v>64</v>
      </c>
      <c r="P50" s="33" t="s">
        <v>224</v>
      </c>
      <c r="Q50" s="33" t="s">
        <v>221</v>
      </c>
      <c r="R50" s="33" t="s">
        <v>60</v>
      </c>
      <c r="S50" s="33" t="s">
        <v>129</v>
      </c>
      <c r="T50" s="32"/>
      <c r="U50" s="42"/>
      <c r="V50" s="42"/>
      <c r="W50" s="42"/>
    </row>
    <row r="51" spans="1:28" s="83" customFormat="1" ht="15.6" customHeight="1" x14ac:dyDescent="0.2">
      <c r="A51" s="4">
        <v>50</v>
      </c>
      <c r="B51" s="4" t="s">
        <v>284</v>
      </c>
      <c r="C51" s="3" t="s">
        <v>144</v>
      </c>
      <c r="D51" s="4">
        <v>0.9</v>
      </c>
      <c r="E51" s="4">
        <v>8</v>
      </c>
      <c r="F51" s="4" t="s">
        <v>63</v>
      </c>
      <c r="G51" s="4" t="s">
        <v>63</v>
      </c>
      <c r="H51" s="4" t="s">
        <v>63</v>
      </c>
      <c r="I51" s="4" t="s">
        <v>83</v>
      </c>
      <c r="J51" s="4" t="s">
        <v>133</v>
      </c>
      <c r="K51" s="4" t="s">
        <v>57</v>
      </c>
      <c r="L51" s="4" t="s">
        <v>136</v>
      </c>
      <c r="M51" s="76">
        <v>0.95469999999999999</v>
      </c>
      <c r="N51" s="9" t="s">
        <v>500</v>
      </c>
      <c r="O51" s="9" t="s">
        <v>436</v>
      </c>
      <c r="P51" s="4" t="s">
        <v>224</v>
      </c>
      <c r="Q51" s="4" t="s">
        <v>221</v>
      </c>
      <c r="R51" s="4" t="s">
        <v>60</v>
      </c>
      <c r="S51" s="4" t="s">
        <v>129</v>
      </c>
      <c r="T51" s="2"/>
      <c r="U51" s="56" t="s">
        <v>125</v>
      </c>
      <c r="V51" s="56" t="s">
        <v>125</v>
      </c>
      <c r="W51" s="56" t="s">
        <v>125</v>
      </c>
      <c r="X51" s="8"/>
      <c r="Y51" s="8"/>
      <c r="Z51" s="8"/>
      <c r="AA51" s="8"/>
      <c r="AB51" s="8"/>
    </row>
    <row r="52" spans="1:28" ht="15.6" customHeight="1" x14ac:dyDescent="0.2">
      <c r="A52" s="33">
        <v>51</v>
      </c>
      <c r="B52" s="33" t="s">
        <v>61</v>
      </c>
      <c r="C52" s="34" t="s">
        <v>93</v>
      </c>
      <c r="D52" s="33">
        <v>0.9</v>
      </c>
      <c r="E52" s="33">
        <v>8</v>
      </c>
      <c r="F52" s="33" t="s">
        <v>63</v>
      </c>
      <c r="G52" s="33" t="s">
        <v>63</v>
      </c>
      <c r="H52" s="33" t="s">
        <v>63</v>
      </c>
      <c r="I52" s="33" t="s">
        <v>83</v>
      </c>
      <c r="J52" s="33" t="s">
        <v>133</v>
      </c>
      <c r="K52" s="33" t="s">
        <v>57</v>
      </c>
      <c r="L52" s="33" t="s">
        <v>136</v>
      </c>
      <c r="M52" s="74" t="s">
        <v>64</v>
      </c>
      <c r="N52" s="74" t="s">
        <v>64</v>
      </c>
      <c r="O52" s="74" t="s">
        <v>64</v>
      </c>
      <c r="P52" s="33" t="s">
        <v>224</v>
      </c>
      <c r="Q52" s="33" t="s">
        <v>221</v>
      </c>
      <c r="R52" s="33" t="s">
        <v>60</v>
      </c>
      <c r="S52" s="33" t="s">
        <v>129</v>
      </c>
      <c r="T52" s="32"/>
      <c r="U52" s="42"/>
      <c r="V52" s="42"/>
      <c r="W52" s="42"/>
    </row>
    <row r="53" spans="1:28" s="83" customFormat="1" ht="15.6" customHeight="1" x14ac:dyDescent="0.2">
      <c r="A53" s="4">
        <v>52</v>
      </c>
      <c r="B53" s="4" t="s">
        <v>285</v>
      </c>
      <c r="C53" s="3" t="s">
        <v>143</v>
      </c>
      <c r="D53" s="4">
        <v>0.9</v>
      </c>
      <c r="E53" s="4">
        <v>8</v>
      </c>
      <c r="F53" s="4" t="s">
        <v>63</v>
      </c>
      <c r="G53" s="4" t="s">
        <v>63</v>
      </c>
      <c r="H53" s="4" t="s">
        <v>63</v>
      </c>
      <c r="I53" s="4" t="s">
        <v>83</v>
      </c>
      <c r="J53" s="4" t="s">
        <v>133</v>
      </c>
      <c r="K53" s="4" t="s">
        <v>57</v>
      </c>
      <c r="L53" s="4" t="s">
        <v>136</v>
      </c>
      <c r="M53" s="76">
        <v>0.95469999999999999</v>
      </c>
      <c r="N53" s="9" t="s">
        <v>500</v>
      </c>
      <c r="O53" s="9" t="s">
        <v>436</v>
      </c>
      <c r="P53" s="4" t="s">
        <v>224</v>
      </c>
      <c r="Q53" s="4" t="s">
        <v>221</v>
      </c>
      <c r="R53" s="4" t="s">
        <v>60</v>
      </c>
      <c r="S53" s="4" t="s">
        <v>129</v>
      </c>
      <c r="T53" s="2"/>
      <c r="U53" s="56" t="s">
        <v>125</v>
      </c>
      <c r="V53" s="56" t="s">
        <v>125</v>
      </c>
      <c r="W53" s="56" t="s">
        <v>125</v>
      </c>
      <c r="X53" s="8"/>
      <c r="Y53" s="8"/>
      <c r="Z53" s="8"/>
      <c r="AA53" s="8"/>
      <c r="AB53" s="8"/>
    </row>
    <row r="54" spans="1:28" ht="16.5" x14ac:dyDescent="0.2">
      <c r="A54" s="33">
        <v>53</v>
      </c>
      <c r="B54" s="33" t="s">
        <v>62</v>
      </c>
      <c r="C54" s="34" t="s">
        <v>94</v>
      </c>
      <c r="D54" s="33">
        <v>0.9</v>
      </c>
      <c r="E54" s="33">
        <v>8</v>
      </c>
      <c r="F54" s="33" t="s">
        <v>63</v>
      </c>
      <c r="G54" s="33" t="s">
        <v>63</v>
      </c>
      <c r="H54" s="33" t="s">
        <v>63</v>
      </c>
      <c r="I54" s="33" t="s">
        <v>83</v>
      </c>
      <c r="J54" s="33" t="s">
        <v>133</v>
      </c>
      <c r="K54" s="33" t="s">
        <v>57</v>
      </c>
      <c r="L54" s="33" t="s">
        <v>136</v>
      </c>
      <c r="M54" s="74" t="s">
        <v>64</v>
      </c>
      <c r="N54" s="74" t="s">
        <v>64</v>
      </c>
      <c r="O54" s="74" t="s">
        <v>64</v>
      </c>
      <c r="P54" s="33" t="s">
        <v>224</v>
      </c>
      <c r="Q54" s="33" t="s">
        <v>221</v>
      </c>
      <c r="R54" s="33" t="s">
        <v>60</v>
      </c>
      <c r="S54" s="33" t="s">
        <v>129</v>
      </c>
      <c r="T54" s="32"/>
      <c r="U54" s="42"/>
      <c r="V54" s="42"/>
      <c r="W54" s="42"/>
    </row>
    <row r="55" spans="1:28" s="83" customFormat="1" ht="16.5" x14ac:dyDescent="0.2">
      <c r="A55" s="4">
        <v>54</v>
      </c>
      <c r="B55" s="4" t="s">
        <v>286</v>
      </c>
      <c r="C55" s="3" t="s">
        <v>142</v>
      </c>
      <c r="D55" s="4">
        <v>0.9</v>
      </c>
      <c r="E55" s="4">
        <v>8</v>
      </c>
      <c r="F55" s="4" t="s">
        <v>218</v>
      </c>
      <c r="G55" s="4" t="s">
        <v>63</v>
      </c>
      <c r="H55" s="4" t="s">
        <v>63</v>
      </c>
      <c r="I55" s="4" t="s">
        <v>137</v>
      </c>
      <c r="J55" s="4" t="s">
        <v>133</v>
      </c>
      <c r="K55" s="4" t="s">
        <v>57</v>
      </c>
      <c r="L55" s="4" t="s">
        <v>136</v>
      </c>
      <c r="M55" s="76">
        <v>0.95620000000000005</v>
      </c>
      <c r="N55" s="9" t="s">
        <v>647</v>
      </c>
      <c r="O55" s="9" t="s">
        <v>448</v>
      </c>
      <c r="P55" s="4" t="s">
        <v>224</v>
      </c>
      <c r="Q55" s="4" t="s">
        <v>221</v>
      </c>
      <c r="R55" s="4" t="s">
        <v>60</v>
      </c>
      <c r="S55" s="4" t="s">
        <v>129</v>
      </c>
      <c r="T55" s="2" t="s">
        <v>499</v>
      </c>
      <c r="U55" s="56" t="s">
        <v>125</v>
      </c>
      <c r="V55" s="56" t="s">
        <v>125</v>
      </c>
      <c r="W55" s="56" t="s">
        <v>125</v>
      </c>
      <c r="X55" s="8"/>
      <c r="Y55" s="8"/>
      <c r="Z55" s="8"/>
      <c r="AA55" s="8"/>
      <c r="AB55" s="8"/>
    </row>
    <row r="56" spans="1:28" ht="16.5" x14ac:dyDescent="0.2">
      <c r="A56" s="33">
        <v>55</v>
      </c>
      <c r="B56" s="33" t="s">
        <v>480</v>
      </c>
      <c r="C56" s="34" t="s">
        <v>96</v>
      </c>
      <c r="D56" s="33">
        <v>0.9</v>
      </c>
      <c r="E56" s="33">
        <v>8</v>
      </c>
      <c r="F56" s="33" t="s">
        <v>218</v>
      </c>
      <c r="G56" s="33" t="s">
        <v>63</v>
      </c>
      <c r="H56" s="33" t="s">
        <v>63</v>
      </c>
      <c r="I56" s="33" t="s">
        <v>137</v>
      </c>
      <c r="J56" s="33" t="s">
        <v>133</v>
      </c>
      <c r="K56" s="33" t="s">
        <v>57</v>
      </c>
      <c r="L56" s="33" t="s">
        <v>136</v>
      </c>
      <c r="M56" s="74" t="s">
        <v>64</v>
      </c>
      <c r="N56" s="74" t="s">
        <v>64</v>
      </c>
      <c r="O56" s="74" t="s">
        <v>64</v>
      </c>
      <c r="P56" s="33" t="s">
        <v>224</v>
      </c>
      <c r="Q56" s="33" t="s">
        <v>221</v>
      </c>
      <c r="R56" s="33" t="s">
        <v>60</v>
      </c>
      <c r="S56" s="33" t="s">
        <v>129</v>
      </c>
      <c r="T56" s="32" t="s">
        <v>499</v>
      </c>
      <c r="U56" s="42"/>
      <c r="V56" s="42"/>
      <c r="W56" s="42"/>
    </row>
    <row r="57" spans="1:28" s="83" customFormat="1" ht="16.5" x14ac:dyDescent="0.2">
      <c r="A57" s="4">
        <v>56</v>
      </c>
      <c r="B57" s="4" t="s">
        <v>287</v>
      </c>
      <c r="C57" s="3" t="s">
        <v>95</v>
      </c>
      <c r="D57" s="4">
        <v>0.9</v>
      </c>
      <c r="E57" s="4">
        <v>8</v>
      </c>
      <c r="F57" s="4" t="s">
        <v>218</v>
      </c>
      <c r="G57" s="4" t="s">
        <v>63</v>
      </c>
      <c r="H57" s="4" t="s">
        <v>63</v>
      </c>
      <c r="I57" s="4" t="s">
        <v>137</v>
      </c>
      <c r="J57" s="4" t="s">
        <v>133</v>
      </c>
      <c r="K57" s="4" t="s">
        <v>57</v>
      </c>
      <c r="L57" s="4" t="s">
        <v>136</v>
      </c>
      <c r="M57" s="76">
        <v>0.95620000000000005</v>
      </c>
      <c r="N57" s="9" t="s">
        <v>647</v>
      </c>
      <c r="O57" s="9" t="s">
        <v>448</v>
      </c>
      <c r="P57" s="4" t="s">
        <v>224</v>
      </c>
      <c r="Q57" s="4" t="s">
        <v>221</v>
      </c>
      <c r="R57" s="4" t="s">
        <v>60</v>
      </c>
      <c r="S57" s="4" t="s">
        <v>129</v>
      </c>
      <c r="T57" s="2" t="s">
        <v>499</v>
      </c>
      <c r="U57" s="56" t="s">
        <v>125</v>
      </c>
      <c r="V57" s="56" t="s">
        <v>125</v>
      </c>
      <c r="W57" s="56" t="s">
        <v>125</v>
      </c>
      <c r="X57" s="8"/>
      <c r="Y57" s="8"/>
      <c r="Z57" s="8"/>
      <c r="AA57" s="8"/>
      <c r="AB57" s="8"/>
    </row>
    <row r="58" spans="1:28" ht="16.5" x14ac:dyDescent="0.2">
      <c r="A58" s="33">
        <v>57</v>
      </c>
      <c r="B58" s="33" t="s">
        <v>481</v>
      </c>
      <c r="C58" s="34" t="s">
        <v>97</v>
      </c>
      <c r="D58" s="33">
        <v>0.9</v>
      </c>
      <c r="E58" s="33">
        <v>8</v>
      </c>
      <c r="F58" s="33" t="s">
        <v>218</v>
      </c>
      <c r="G58" s="33" t="s">
        <v>63</v>
      </c>
      <c r="H58" s="33" t="s">
        <v>63</v>
      </c>
      <c r="I58" s="33" t="s">
        <v>137</v>
      </c>
      <c r="J58" s="33" t="s">
        <v>133</v>
      </c>
      <c r="K58" s="33" t="s">
        <v>57</v>
      </c>
      <c r="L58" s="33" t="s">
        <v>136</v>
      </c>
      <c r="M58" s="74" t="s">
        <v>64</v>
      </c>
      <c r="N58" s="74" t="s">
        <v>64</v>
      </c>
      <c r="O58" s="74" t="s">
        <v>64</v>
      </c>
      <c r="P58" s="33" t="s">
        <v>224</v>
      </c>
      <c r="Q58" s="33" t="s">
        <v>221</v>
      </c>
      <c r="R58" s="33" t="s">
        <v>60</v>
      </c>
      <c r="S58" s="33" t="s">
        <v>129</v>
      </c>
      <c r="T58" s="32" t="s">
        <v>499</v>
      </c>
      <c r="U58" s="42"/>
      <c r="V58" s="42"/>
      <c r="W58" s="42"/>
    </row>
    <row r="59" spans="1:28" s="83" customFormat="1" ht="16.5" x14ac:dyDescent="0.2">
      <c r="A59" s="4">
        <v>58</v>
      </c>
      <c r="B59" s="4" t="s">
        <v>288</v>
      </c>
      <c r="C59" s="3" t="s">
        <v>141</v>
      </c>
      <c r="D59" s="4">
        <v>0.9</v>
      </c>
      <c r="E59" s="4">
        <v>8</v>
      </c>
      <c r="F59" s="4" t="s">
        <v>218</v>
      </c>
      <c r="G59" s="4" t="s">
        <v>63</v>
      </c>
      <c r="H59" s="4" t="s">
        <v>63</v>
      </c>
      <c r="I59" s="4" t="s">
        <v>137</v>
      </c>
      <c r="J59" s="4" t="s">
        <v>133</v>
      </c>
      <c r="K59" s="4" t="s">
        <v>57</v>
      </c>
      <c r="L59" s="4" t="s">
        <v>136</v>
      </c>
      <c r="M59" s="76">
        <v>0.95620000000000005</v>
      </c>
      <c r="N59" s="9" t="s">
        <v>647</v>
      </c>
      <c r="O59" s="9" t="s">
        <v>448</v>
      </c>
      <c r="P59" s="4" t="s">
        <v>224</v>
      </c>
      <c r="Q59" s="4" t="s">
        <v>221</v>
      </c>
      <c r="R59" s="4" t="s">
        <v>60</v>
      </c>
      <c r="S59" s="4" t="s">
        <v>129</v>
      </c>
      <c r="T59" s="2" t="s">
        <v>499</v>
      </c>
      <c r="U59" s="56" t="s">
        <v>125</v>
      </c>
      <c r="V59" s="56" t="s">
        <v>125</v>
      </c>
      <c r="W59" s="56" t="s">
        <v>125</v>
      </c>
      <c r="X59" s="8"/>
      <c r="Y59" s="8"/>
      <c r="Z59" s="8"/>
      <c r="AA59" s="8"/>
      <c r="AB59" s="8"/>
    </row>
    <row r="60" spans="1:28" ht="16.5" x14ac:dyDescent="0.2">
      <c r="A60" s="33">
        <v>59</v>
      </c>
      <c r="B60" s="33" t="s">
        <v>482</v>
      </c>
      <c r="C60" s="34" t="s">
        <v>140</v>
      </c>
      <c r="D60" s="33">
        <v>0.9</v>
      </c>
      <c r="E60" s="33">
        <v>8</v>
      </c>
      <c r="F60" s="33" t="s">
        <v>218</v>
      </c>
      <c r="G60" s="33" t="s">
        <v>63</v>
      </c>
      <c r="H60" s="33" t="s">
        <v>63</v>
      </c>
      <c r="I60" s="33" t="s">
        <v>137</v>
      </c>
      <c r="J60" s="33" t="s">
        <v>133</v>
      </c>
      <c r="K60" s="33" t="s">
        <v>57</v>
      </c>
      <c r="L60" s="33" t="s">
        <v>136</v>
      </c>
      <c r="M60" s="74" t="s">
        <v>64</v>
      </c>
      <c r="N60" s="74" t="s">
        <v>64</v>
      </c>
      <c r="O60" s="74" t="s">
        <v>64</v>
      </c>
      <c r="P60" s="33" t="s">
        <v>224</v>
      </c>
      <c r="Q60" s="33" t="s">
        <v>221</v>
      </c>
      <c r="R60" s="33" t="s">
        <v>60</v>
      </c>
      <c r="S60" s="33" t="s">
        <v>129</v>
      </c>
      <c r="T60" s="32" t="s">
        <v>499</v>
      </c>
      <c r="U60" s="42"/>
      <c r="V60" s="42"/>
      <c r="W60" s="42"/>
    </row>
    <row r="61" spans="1:28" s="83" customFormat="1" ht="16.5" x14ac:dyDescent="0.2">
      <c r="A61" s="4">
        <v>60</v>
      </c>
      <c r="B61" s="4" t="s">
        <v>289</v>
      </c>
      <c r="C61" s="3" t="s">
        <v>139</v>
      </c>
      <c r="D61" s="4">
        <v>0.9</v>
      </c>
      <c r="E61" s="4">
        <v>8</v>
      </c>
      <c r="F61" s="4" t="s">
        <v>218</v>
      </c>
      <c r="G61" s="4" t="s">
        <v>63</v>
      </c>
      <c r="H61" s="4" t="s">
        <v>63</v>
      </c>
      <c r="I61" s="4" t="s">
        <v>137</v>
      </c>
      <c r="J61" s="4" t="s">
        <v>133</v>
      </c>
      <c r="K61" s="4" t="s">
        <v>57</v>
      </c>
      <c r="L61" s="4" t="s">
        <v>136</v>
      </c>
      <c r="M61" s="76">
        <v>0.95620000000000005</v>
      </c>
      <c r="N61" s="9" t="s">
        <v>647</v>
      </c>
      <c r="O61" s="9" t="s">
        <v>448</v>
      </c>
      <c r="P61" s="4" t="s">
        <v>224</v>
      </c>
      <c r="Q61" s="4" t="s">
        <v>221</v>
      </c>
      <c r="R61" s="4" t="s">
        <v>60</v>
      </c>
      <c r="S61" s="4" t="s">
        <v>129</v>
      </c>
      <c r="T61" s="2" t="s">
        <v>499</v>
      </c>
      <c r="U61" s="56" t="s">
        <v>125</v>
      </c>
      <c r="V61" s="56" t="s">
        <v>125</v>
      </c>
      <c r="W61" s="56" t="s">
        <v>125</v>
      </c>
      <c r="X61" s="8"/>
      <c r="Y61" s="8"/>
      <c r="Z61" s="8"/>
      <c r="AA61" s="8"/>
      <c r="AB61" s="8"/>
    </row>
    <row r="62" spans="1:28" ht="16.5" x14ac:dyDescent="0.2">
      <c r="A62" s="33">
        <v>61</v>
      </c>
      <c r="B62" s="33" t="s">
        <v>483</v>
      </c>
      <c r="C62" s="34" t="s">
        <v>138</v>
      </c>
      <c r="D62" s="33">
        <v>0.9</v>
      </c>
      <c r="E62" s="33">
        <v>8</v>
      </c>
      <c r="F62" s="33" t="s">
        <v>218</v>
      </c>
      <c r="G62" s="33" t="s">
        <v>63</v>
      </c>
      <c r="H62" s="33" t="s">
        <v>63</v>
      </c>
      <c r="I62" s="33" t="s">
        <v>137</v>
      </c>
      <c r="J62" s="33" t="s">
        <v>133</v>
      </c>
      <c r="K62" s="33" t="s">
        <v>57</v>
      </c>
      <c r="L62" s="33" t="s">
        <v>136</v>
      </c>
      <c r="M62" s="74" t="s">
        <v>64</v>
      </c>
      <c r="N62" s="74" t="s">
        <v>64</v>
      </c>
      <c r="O62" s="74" t="s">
        <v>64</v>
      </c>
      <c r="P62" s="33" t="s">
        <v>224</v>
      </c>
      <c r="Q62" s="33" t="s">
        <v>221</v>
      </c>
      <c r="R62" s="33" t="s">
        <v>60</v>
      </c>
      <c r="S62" s="33" t="s">
        <v>129</v>
      </c>
      <c r="T62" s="32" t="s">
        <v>499</v>
      </c>
      <c r="U62" s="42"/>
      <c r="V62" s="42"/>
      <c r="W62" s="42"/>
    </row>
    <row r="63" spans="1:28" s="83" customFormat="1" ht="16.5" x14ac:dyDescent="0.2">
      <c r="A63" s="4">
        <v>62</v>
      </c>
      <c r="B63" s="4" t="s">
        <v>290</v>
      </c>
      <c r="C63" s="3" t="s">
        <v>98</v>
      </c>
      <c r="D63" s="4">
        <v>0.9</v>
      </c>
      <c r="E63" s="4">
        <v>8</v>
      </c>
      <c r="F63" s="4" t="s">
        <v>218</v>
      </c>
      <c r="G63" s="4" t="s">
        <v>63</v>
      </c>
      <c r="H63" s="4" t="s">
        <v>63</v>
      </c>
      <c r="I63" s="4" t="s">
        <v>137</v>
      </c>
      <c r="J63" s="4" t="s">
        <v>133</v>
      </c>
      <c r="K63" s="4" t="s">
        <v>57</v>
      </c>
      <c r="L63" s="4" t="s">
        <v>136</v>
      </c>
      <c r="M63" s="76">
        <v>0.95620000000000005</v>
      </c>
      <c r="N63" s="9" t="s">
        <v>647</v>
      </c>
      <c r="O63" s="9" t="s">
        <v>448</v>
      </c>
      <c r="P63" s="4" t="s">
        <v>224</v>
      </c>
      <c r="Q63" s="4" t="s">
        <v>221</v>
      </c>
      <c r="R63" s="4" t="s">
        <v>60</v>
      </c>
      <c r="S63" s="4" t="s">
        <v>129</v>
      </c>
      <c r="T63" s="2" t="s">
        <v>499</v>
      </c>
      <c r="U63" s="56" t="s">
        <v>125</v>
      </c>
      <c r="V63" s="56" t="s">
        <v>125</v>
      </c>
      <c r="W63" s="56" t="s">
        <v>125</v>
      </c>
      <c r="X63" s="8"/>
      <c r="Y63" s="8"/>
      <c r="Z63" s="8"/>
      <c r="AA63" s="8"/>
      <c r="AB63" s="8"/>
    </row>
    <row r="64" spans="1:28" ht="16.5" x14ac:dyDescent="0.2">
      <c r="A64" s="33">
        <v>63</v>
      </c>
      <c r="B64" s="33" t="s">
        <v>484</v>
      </c>
      <c r="C64" s="34" t="s">
        <v>99</v>
      </c>
      <c r="D64" s="33">
        <v>0.9</v>
      </c>
      <c r="E64" s="33">
        <v>8</v>
      </c>
      <c r="F64" s="33" t="s">
        <v>218</v>
      </c>
      <c r="G64" s="33" t="s">
        <v>63</v>
      </c>
      <c r="H64" s="33" t="s">
        <v>63</v>
      </c>
      <c r="I64" s="33" t="s">
        <v>137</v>
      </c>
      <c r="J64" s="33" t="s">
        <v>133</v>
      </c>
      <c r="K64" s="33" t="s">
        <v>57</v>
      </c>
      <c r="L64" s="33" t="s">
        <v>136</v>
      </c>
      <c r="M64" s="74" t="s">
        <v>64</v>
      </c>
      <c r="N64" s="74" t="s">
        <v>64</v>
      </c>
      <c r="O64" s="74" t="s">
        <v>64</v>
      </c>
      <c r="P64" s="33" t="s">
        <v>224</v>
      </c>
      <c r="Q64" s="33" t="s">
        <v>221</v>
      </c>
      <c r="R64" s="33" t="s">
        <v>60</v>
      </c>
      <c r="S64" s="33" t="s">
        <v>129</v>
      </c>
      <c r="T64" s="32" t="s">
        <v>499</v>
      </c>
      <c r="U64" s="42"/>
      <c r="V64" s="42"/>
      <c r="W64" s="42"/>
    </row>
    <row r="65" spans="1:28" s="83" customFormat="1" ht="16.5" x14ac:dyDescent="0.2">
      <c r="A65" s="4">
        <v>64</v>
      </c>
      <c r="B65" s="4" t="s">
        <v>291</v>
      </c>
      <c r="C65" s="3" t="s">
        <v>100</v>
      </c>
      <c r="D65" s="4">
        <v>0.9</v>
      </c>
      <c r="E65" s="4">
        <v>8</v>
      </c>
      <c r="F65" s="4" t="s">
        <v>218</v>
      </c>
      <c r="G65" s="4" t="s">
        <v>63</v>
      </c>
      <c r="H65" s="4" t="s">
        <v>63</v>
      </c>
      <c r="I65" s="4" t="s">
        <v>137</v>
      </c>
      <c r="J65" s="4" t="s">
        <v>133</v>
      </c>
      <c r="K65" s="4" t="s">
        <v>57</v>
      </c>
      <c r="L65" s="4" t="s">
        <v>136</v>
      </c>
      <c r="M65" s="76">
        <v>0.95620000000000005</v>
      </c>
      <c r="N65" s="9" t="s">
        <v>647</v>
      </c>
      <c r="O65" s="9" t="s">
        <v>448</v>
      </c>
      <c r="P65" s="4" t="s">
        <v>224</v>
      </c>
      <c r="Q65" s="4" t="s">
        <v>221</v>
      </c>
      <c r="R65" s="4" t="s">
        <v>60</v>
      </c>
      <c r="S65" s="4" t="s">
        <v>129</v>
      </c>
      <c r="T65" s="2" t="s">
        <v>499</v>
      </c>
      <c r="U65" s="56" t="s">
        <v>125</v>
      </c>
      <c r="V65" s="56" t="s">
        <v>125</v>
      </c>
      <c r="W65" s="56" t="s">
        <v>125</v>
      </c>
      <c r="X65" s="8"/>
      <c r="Y65" s="8"/>
      <c r="Z65" s="8"/>
      <c r="AA65" s="8"/>
      <c r="AB65" s="8"/>
    </row>
    <row r="66" spans="1:28" ht="16.5" x14ac:dyDescent="0.2">
      <c r="A66" s="33">
        <v>65</v>
      </c>
      <c r="B66" s="33" t="s">
        <v>485</v>
      </c>
      <c r="C66" s="34" t="s">
        <v>101</v>
      </c>
      <c r="D66" s="33">
        <v>0.9</v>
      </c>
      <c r="E66" s="33">
        <v>8</v>
      </c>
      <c r="F66" s="33" t="s">
        <v>218</v>
      </c>
      <c r="G66" s="33" t="s">
        <v>63</v>
      </c>
      <c r="H66" s="33" t="s">
        <v>63</v>
      </c>
      <c r="I66" s="33" t="s">
        <v>137</v>
      </c>
      <c r="J66" s="33" t="s">
        <v>133</v>
      </c>
      <c r="K66" s="33" t="s">
        <v>57</v>
      </c>
      <c r="L66" s="33" t="s">
        <v>136</v>
      </c>
      <c r="M66" s="74" t="s">
        <v>64</v>
      </c>
      <c r="N66" s="74" t="s">
        <v>64</v>
      </c>
      <c r="O66" s="74" t="s">
        <v>64</v>
      </c>
      <c r="P66" s="33" t="s">
        <v>224</v>
      </c>
      <c r="Q66" s="33" t="s">
        <v>221</v>
      </c>
      <c r="R66" s="33" t="s">
        <v>60</v>
      </c>
      <c r="S66" s="33" t="s">
        <v>129</v>
      </c>
      <c r="T66" s="32" t="s">
        <v>499</v>
      </c>
      <c r="U66" s="42"/>
      <c r="V66" s="42"/>
      <c r="W66" s="42"/>
    </row>
    <row r="67" spans="1:28" s="83" customFormat="1" ht="16.5" x14ac:dyDescent="0.2">
      <c r="A67" s="4">
        <v>66</v>
      </c>
      <c r="B67" s="4" t="s">
        <v>292</v>
      </c>
      <c r="C67" s="3" t="s">
        <v>102</v>
      </c>
      <c r="D67" s="4">
        <v>0.9</v>
      </c>
      <c r="E67" s="4">
        <v>8</v>
      </c>
      <c r="F67" s="4" t="s">
        <v>218</v>
      </c>
      <c r="G67" s="4" t="s">
        <v>63</v>
      </c>
      <c r="H67" s="4" t="s">
        <v>63</v>
      </c>
      <c r="I67" s="4" t="s">
        <v>137</v>
      </c>
      <c r="J67" s="4" t="s">
        <v>133</v>
      </c>
      <c r="K67" s="4" t="s">
        <v>57</v>
      </c>
      <c r="L67" s="4" t="s">
        <v>136</v>
      </c>
      <c r="M67" s="76">
        <v>0.95620000000000005</v>
      </c>
      <c r="N67" s="9" t="s">
        <v>647</v>
      </c>
      <c r="O67" s="9" t="s">
        <v>448</v>
      </c>
      <c r="P67" s="4" t="s">
        <v>224</v>
      </c>
      <c r="Q67" s="4" t="s">
        <v>221</v>
      </c>
      <c r="R67" s="4" t="s">
        <v>60</v>
      </c>
      <c r="S67" s="4" t="s">
        <v>129</v>
      </c>
      <c r="T67" s="2" t="s">
        <v>499</v>
      </c>
      <c r="U67" s="56" t="s">
        <v>125</v>
      </c>
      <c r="V67" s="56" t="s">
        <v>125</v>
      </c>
      <c r="W67" s="56" t="s">
        <v>125</v>
      </c>
      <c r="X67" s="8"/>
      <c r="Y67" s="8"/>
      <c r="Z67" s="8"/>
      <c r="AA67" s="8"/>
      <c r="AB67" s="8"/>
    </row>
    <row r="68" spans="1:28" ht="16.5" x14ac:dyDescent="0.2">
      <c r="A68" s="33">
        <v>67</v>
      </c>
      <c r="B68" s="33" t="s">
        <v>486</v>
      </c>
      <c r="C68" s="34" t="s">
        <v>103</v>
      </c>
      <c r="D68" s="33">
        <v>0.9</v>
      </c>
      <c r="E68" s="33">
        <v>8</v>
      </c>
      <c r="F68" s="33" t="s">
        <v>218</v>
      </c>
      <c r="G68" s="33" t="s">
        <v>63</v>
      </c>
      <c r="H68" s="33" t="s">
        <v>63</v>
      </c>
      <c r="I68" s="33" t="s">
        <v>137</v>
      </c>
      <c r="J68" s="33" t="s">
        <v>133</v>
      </c>
      <c r="K68" s="33" t="s">
        <v>57</v>
      </c>
      <c r="L68" s="33" t="s">
        <v>136</v>
      </c>
      <c r="M68" s="74" t="s">
        <v>64</v>
      </c>
      <c r="N68" s="74" t="s">
        <v>64</v>
      </c>
      <c r="O68" s="74" t="s">
        <v>64</v>
      </c>
      <c r="P68" s="33" t="s">
        <v>224</v>
      </c>
      <c r="Q68" s="33" t="s">
        <v>221</v>
      </c>
      <c r="R68" s="33" t="s">
        <v>60</v>
      </c>
      <c r="S68" s="33" t="s">
        <v>129</v>
      </c>
      <c r="T68" s="32" t="s">
        <v>499</v>
      </c>
      <c r="U68" s="42"/>
      <c r="V68" s="42"/>
      <c r="W68" s="42"/>
    </row>
    <row r="69" spans="1:28" s="83" customFormat="1" ht="16.5" x14ac:dyDescent="0.2">
      <c r="A69" s="4">
        <v>68</v>
      </c>
      <c r="B69" s="4" t="s">
        <v>293</v>
      </c>
      <c r="C69" s="3" t="s">
        <v>104</v>
      </c>
      <c r="D69" s="4">
        <v>0.9</v>
      </c>
      <c r="E69" s="4">
        <v>8</v>
      </c>
      <c r="F69" s="4" t="s">
        <v>218</v>
      </c>
      <c r="G69" s="4" t="s">
        <v>63</v>
      </c>
      <c r="H69" s="4" t="s">
        <v>63</v>
      </c>
      <c r="I69" s="4" t="s">
        <v>137</v>
      </c>
      <c r="J69" s="4" t="s">
        <v>133</v>
      </c>
      <c r="K69" s="4" t="s">
        <v>57</v>
      </c>
      <c r="L69" s="4" t="s">
        <v>136</v>
      </c>
      <c r="M69" s="76">
        <v>0.95620000000000005</v>
      </c>
      <c r="N69" s="9" t="s">
        <v>647</v>
      </c>
      <c r="O69" s="9" t="s">
        <v>161</v>
      </c>
      <c r="P69" s="4" t="s">
        <v>225</v>
      </c>
      <c r="Q69" s="4" t="s">
        <v>221</v>
      </c>
      <c r="R69" s="4" t="s">
        <v>60</v>
      </c>
      <c r="S69" s="4" t="s">
        <v>129</v>
      </c>
      <c r="T69" s="2" t="s">
        <v>499</v>
      </c>
      <c r="U69" s="56" t="s">
        <v>125</v>
      </c>
      <c r="V69" s="56" t="s">
        <v>125</v>
      </c>
      <c r="W69" s="56" t="s">
        <v>125</v>
      </c>
      <c r="X69" s="8"/>
      <c r="Y69" s="8"/>
      <c r="Z69" s="8"/>
      <c r="AA69" s="8"/>
      <c r="AB69" s="8"/>
    </row>
    <row r="70" spans="1:28" ht="16.5" x14ac:dyDescent="0.2">
      <c r="A70" s="33">
        <v>69</v>
      </c>
      <c r="B70" s="33" t="s">
        <v>487</v>
      </c>
      <c r="C70" s="34" t="s">
        <v>105</v>
      </c>
      <c r="D70" s="33">
        <v>0.9</v>
      </c>
      <c r="E70" s="33">
        <v>8</v>
      </c>
      <c r="F70" s="33" t="s">
        <v>218</v>
      </c>
      <c r="G70" s="33" t="s">
        <v>63</v>
      </c>
      <c r="H70" s="33" t="s">
        <v>63</v>
      </c>
      <c r="I70" s="33" t="s">
        <v>137</v>
      </c>
      <c r="J70" s="33" t="s">
        <v>133</v>
      </c>
      <c r="K70" s="33" t="s">
        <v>57</v>
      </c>
      <c r="L70" s="33" t="s">
        <v>136</v>
      </c>
      <c r="M70" s="74" t="s">
        <v>64</v>
      </c>
      <c r="N70" s="74" t="s">
        <v>64</v>
      </c>
      <c r="O70" s="74" t="s">
        <v>64</v>
      </c>
      <c r="P70" s="33" t="s">
        <v>225</v>
      </c>
      <c r="Q70" s="33" t="s">
        <v>221</v>
      </c>
      <c r="R70" s="33" t="s">
        <v>60</v>
      </c>
      <c r="S70" s="33" t="s">
        <v>129</v>
      </c>
      <c r="T70" s="32" t="s">
        <v>499</v>
      </c>
      <c r="U70" s="42"/>
      <c r="V70" s="42"/>
      <c r="W70" s="42"/>
    </row>
    <row r="71" spans="1:28" s="83" customFormat="1" ht="16.5" x14ac:dyDescent="0.3">
      <c r="A71" s="4">
        <v>70</v>
      </c>
      <c r="B71" s="4" t="s">
        <v>294</v>
      </c>
      <c r="C71" s="3" t="s">
        <v>106</v>
      </c>
      <c r="D71" s="4">
        <v>0.9</v>
      </c>
      <c r="E71" s="4">
        <v>8</v>
      </c>
      <c r="F71" s="4" t="s">
        <v>218</v>
      </c>
      <c r="G71" s="4" t="s">
        <v>63</v>
      </c>
      <c r="H71" s="4" t="s">
        <v>63</v>
      </c>
      <c r="I71" s="4" t="s">
        <v>137</v>
      </c>
      <c r="J71" s="4" t="s">
        <v>133</v>
      </c>
      <c r="K71" s="4" t="s">
        <v>57</v>
      </c>
      <c r="L71" s="4" t="s">
        <v>136</v>
      </c>
      <c r="M71" s="76">
        <v>0.95620000000000005</v>
      </c>
      <c r="N71" s="9" t="s">
        <v>647</v>
      </c>
      <c r="O71" s="9" t="s">
        <v>448</v>
      </c>
      <c r="P71" s="111" t="s">
        <v>692</v>
      </c>
      <c r="Q71" s="4" t="s">
        <v>221</v>
      </c>
      <c r="R71" s="4" t="s">
        <v>60</v>
      </c>
      <c r="S71" s="4" t="s">
        <v>129</v>
      </c>
      <c r="T71" s="2" t="s">
        <v>499</v>
      </c>
      <c r="U71" s="56" t="s">
        <v>125</v>
      </c>
      <c r="V71" s="56" t="s">
        <v>125</v>
      </c>
      <c r="W71" s="56" t="s">
        <v>125</v>
      </c>
      <c r="X71" s="8"/>
      <c r="Y71" s="8"/>
      <c r="Z71" s="8"/>
      <c r="AA71" s="8"/>
      <c r="AB71" s="8"/>
    </row>
    <row r="72" spans="1:28" ht="16.5" x14ac:dyDescent="0.3">
      <c r="A72" s="33">
        <v>71</v>
      </c>
      <c r="B72" s="33" t="s">
        <v>488</v>
      </c>
      <c r="C72" s="34" t="s">
        <v>107</v>
      </c>
      <c r="D72" s="33">
        <v>0.9</v>
      </c>
      <c r="E72" s="33">
        <v>8</v>
      </c>
      <c r="F72" s="33" t="s">
        <v>218</v>
      </c>
      <c r="G72" s="33" t="s">
        <v>63</v>
      </c>
      <c r="H72" s="33" t="s">
        <v>63</v>
      </c>
      <c r="I72" s="33" t="s">
        <v>137</v>
      </c>
      <c r="J72" s="33" t="s">
        <v>133</v>
      </c>
      <c r="K72" s="33" t="s">
        <v>57</v>
      </c>
      <c r="L72" s="33" t="s">
        <v>136</v>
      </c>
      <c r="M72" s="74" t="s">
        <v>64</v>
      </c>
      <c r="N72" s="74" t="s">
        <v>64</v>
      </c>
      <c r="O72" s="74" t="s">
        <v>64</v>
      </c>
      <c r="P72" s="91" t="s">
        <v>693</v>
      </c>
      <c r="Q72" s="33" t="s">
        <v>221</v>
      </c>
      <c r="R72" s="33" t="s">
        <v>60</v>
      </c>
      <c r="S72" s="33" t="s">
        <v>129</v>
      </c>
      <c r="T72" s="32" t="s">
        <v>499</v>
      </c>
      <c r="U72" s="42"/>
      <c r="V72" s="42"/>
      <c r="W72" s="42"/>
    </row>
    <row r="73" spans="1:28" s="83" customFormat="1" ht="16.5" x14ac:dyDescent="0.3">
      <c r="A73" s="4">
        <v>72</v>
      </c>
      <c r="B73" s="4" t="s">
        <v>295</v>
      </c>
      <c r="C73" s="3" t="s">
        <v>108</v>
      </c>
      <c r="D73" s="4">
        <v>0.9</v>
      </c>
      <c r="E73" s="4">
        <v>8</v>
      </c>
      <c r="F73" s="4" t="s">
        <v>218</v>
      </c>
      <c r="G73" s="4" t="s">
        <v>63</v>
      </c>
      <c r="H73" s="4" t="s">
        <v>63</v>
      </c>
      <c r="I73" s="4" t="s">
        <v>137</v>
      </c>
      <c r="J73" s="4" t="s">
        <v>133</v>
      </c>
      <c r="K73" s="4" t="s">
        <v>57</v>
      </c>
      <c r="L73" s="4" t="s">
        <v>136</v>
      </c>
      <c r="M73" s="76">
        <v>0.95620000000000005</v>
      </c>
      <c r="N73" s="9" t="s">
        <v>647</v>
      </c>
      <c r="O73" s="9" t="s">
        <v>448</v>
      </c>
      <c r="P73" s="111" t="s">
        <v>693</v>
      </c>
      <c r="Q73" s="4" t="s">
        <v>221</v>
      </c>
      <c r="R73" s="4" t="s">
        <v>60</v>
      </c>
      <c r="S73" s="4" t="s">
        <v>129</v>
      </c>
      <c r="T73" s="2" t="s">
        <v>499</v>
      </c>
      <c r="U73" s="56" t="s">
        <v>125</v>
      </c>
      <c r="V73" s="56" t="s">
        <v>125</v>
      </c>
      <c r="W73" s="56" t="s">
        <v>125</v>
      </c>
      <c r="X73" s="8"/>
      <c r="Y73" s="8"/>
      <c r="Z73" s="8"/>
      <c r="AA73" s="8"/>
      <c r="AB73" s="8"/>
    </row>
    <row r="74" spans="1:28" ht="16.5" x14ac:dyDescent="0.3">
      <c r="A74" s="33">
        <v>73</v>
      </c>
      <c r="B74" s="33" t="s">
        <v>489</v>
      </c>
      <c r="C74" s="34" t="s">
        <v>109</v>
      </c>
      <c r="D74" s="33">
        <v>0.9</v>
      </c>
      <c r="E74" s="33">
        <v>8</v>
      </c>
      <c r="F74" s="33" t="s">
        <v>218</v>
      </c>
      <c r="G74" s="33" t="s">
        <v>63</v>
      </c>
      <c r="H74" s="33" t="s">
        <v>63</v>
      </c>
      <c r="I74" s="33" t="s">
        <v>137</v>
      </c>
      <c r="J74" s="33" t="s">
        <v>133</v>
      </c>
      <c r="K74" s="33" t="s">
        <v>57</v>
      </c>
      <c r="L74" s="33" t="s">
        <v>136</v>
      </c>
      <c r="M74" s="74" t="s">
        <v>64</v>
      </c>
      <c r="N74" s="74" t="s">
        <v>64</v>
      </c>
      <c r="O74" s="74" t="s">
        <v>64</v>
      </c>
      <c r="P74" s="91" t="s">
        <v>692</v>
      </c>
      <c r="Q74" s="33" t="s">
        <v>221</v>
      </c>
      <c r="R74" s="33" t="s">
        <v>60</v>
      </c>
      <c r="S74" s="33" t="s">
        <v>129</v>
      </c>
      <c r="T74" s="32" t="s">
        <v>499</v>
      </c>
      <c r="U74" s="42"/>
      <c r="V74" s="42"/>
      <c r="W74" s="42"/>
    </row>
    <row r="75" spans="1:28" s="83" customFormat="1" ht="16.5" x14ac:dyDescent="0.3">
      <c r="A75" s="4">
        <v>74</v>
      </c>
      <c r="B75" s="4" t="s">
        <v>296</v>
      </c>
      <c r="C75" s="3" t="s">
        <v>110</v>
      </c>
      <c r="D75" s="4">
        <v>0.9</v>
      </c>
      <c r="E75" s="4">
        <v>8</v>
      </c>
      <c r="F75" s="4" t="s">
        <v>218</v>
      </c>
      <c r="G75" s="4" t="s">
        <v>63</v>
      </c>
      <c r="H75" s="4" t="s">
        <v>63</v>
      </c>
      <c r="I75" s="4" t="s">
        <v>137</v>
      </c>
      <c r="J75" s="4" t="s">
        <v>133</v>
      </c>
      <c r="K75" s="4" t="s">
        <v>57</v>
      </c>
      <c r="L75" s="4" t="s">
        <v>136</v>
      </c>
      <c r="M75" s="76">
        <v>0.95620000000000005</v>
      </c>
      <c r="N75" s="9" t="s">
        <v>647</v>
      </c>
      <c r="O75" s="9" t="s">
        <v>448</v>
      </c>
      <c r="P75" s="111" t="s">
        <v>692</v>
      </c>
      <c r="Q75" s="4" t="s">
        <v>221</v>
      </c>
      <c r="R75" s="4" t="s">
        <v>60</v>
      </c>
      <c r="S75" s="4" t="s">
        <v>129</v>
      </c>
      <c r="T75" s="2" t="s">
        <v>499</v>
      </c>
      <c r="U75" s="56" t="s">
        <v>125</v>
      </c>
      <c r="V75" s="56" t="s">
        <v>125</v>
      </c>
      <c r="W75" s="56" t="s">
        <v>125</v>
      </c>
      <c r="X75" s="8"/>
      <c r="Y75" s="8"/>
      <c r="Z75" s="8"/>
      <c r="AA75" s="8"/>
      <c r="AB75" s="8"/>
    </row>
    <row r="76" spans="1:28" ht="16.5" x14ac:dyDescent="0.3">
      <c r="A76" s="33">
        <v>75</v>
      </c>
      <c r="B76" s="33" t="s">
        <v>490</v>
      </c>
      <c r="C76" s="34" t="s">
        <v>111</v>
      </c>
      <c r="D76" s="33">
        <v>0.9</v>
      </c>
      <c r="E76" s="33">
        <v>8</v>
      </c>
      <c r="F76" s="33" t="s">
        <v>218</v>
      </c>
      <c r="G76" s="33" t="s">
        <v>63</v>
      </c>
      <c r="H76" s="33" t="s">
        <v>63</v>
      </c>
      <c r="I76" s="33" t="s">
        <v>137</v>
      </c>
      <c r="J76" s="33" t="s">
        <v>133</v>
      </c>
      <c r="K76" s="33" t="s">
        <v>57</v>
      </c>
      <c r="L76" s="33" t="s">
        <v>136</v>
      </c>
      <c r="M76" s="74" t="s">
        <v>64</v>
      </c>
      <c r="N76" s="74" t="s">
        <v>64</v>
      </c>
      <c r="O76" s="74" t="s">
        <v>64</v>
      </c>
      <c r="P76" s="91" t="s">
        <v>692</v>
      </c>
      <c r="Q76" s="33" t="s">
        <v>221</v>
      </c>
      <c r="R76" s="33" t="s">
        <v>60</v>
      </c>
      <c r="S76" s="33" t="s">
        <v>129</v>
      </c>
      <c r="T76" s="32" t="s">
        <v>499</v>
      </c>
      <c r="U76" s="42"/>
      <c r="V76" s="42"/>
      <c r="W76" s="42"/>
    </row>
    <row r="77" spans="1:28" s="83" customFormat="1" ht="16.5" x14ac:dyDescent="0.3">
      <c r="A77" s="4">
        <v>76</v>
      </c>
      <c r="B77" s="4" t="s">
        <v>297</v>
      </c>
      <c r="C77" s="3" t="s">
        <v>112</v>
      </c>
      <c r="D77" s="4">
        <v>0.9</v>
      </c>
      <c r="E77" s="4">
        <v>8</v>
      </c>
      <c r="F77" s="4" t="s">
        <v>218</v>
      </c>
      <c r="G77" s="4" t="s">
        <v>63</v>
      </c>
      <c r="H77" s="4" t="s">
        <v>63</v>
      </c>
      <c r="I77" s="4" t="s">
        <v>137</v>
      </c>
      <c r="J77" s="4" t="s">
        <v>133</v>
      </c>
      <c r="K77" s="4" t="s">
        <v>57</v>
      </c>
      <c r="L77" s="4" t="s">
        <v>136</v>
      </c>
      <c r="M77" s="76">
        <v>0.95620000000000005</v>
      </c>
      <c r="N77" s="9" t="s">
        <v>647</v>
      </c>
      <c r="O77" s="9" t="s">
        <v>448</v>
      </c>
      <c r="P77" s="111" t="s">
        <v>692</v>
      </c>
      <c r="Q77" s="4" t="s">
        <v>221</v>
      </c>
      <c r="R77" s="4" t="s">
        <v>60</v>
      </c>
      <c r="S77" s="4" t="s">
        <v>129</v>
      </c>
      <c r="T77" s="2" t="s">
        <v>499</v>
      </c>
      <c r="U77" s="56" t="s">
        <v>125</v>
      </c>
      <c r="V77" s="56" t="s">
        <v>125</v>
      </c>
      <c r="W77" s="56" t="s">
        <v>125</v>
      </c>
      <c r="X77" s="8"/>
      <c r="Y77" s="8"/>
      <c r="Z77" s="8"/>
      <c r="AA77" s="8"/>
      <c r="AB77" s="8"/>
    </row>
    <row r="78" spans="1:28" ht="16.5" x14ac:dyDescent="0.3">
      <c r="A78" s="33">
        <v>77</v>
      </c>
      <c r="B78" s="33" t="s">
        <v>491</v>
      </c>
      <c r="C78" s="34" t="s">
        <v>113</v>
      </c>
      <c r="D78" s="33">
        <v>0.9</v>
      </c>
      <c r="E78" s="33">
        <v>8</v>
      </c>
      <c r="F78" s="33" t="s">
        <v>218</v>
      </c>
      <c r="G78" s="33" t="s">
        <v>63</v>
      </c>
      <c r="H78" s="33" t="s">
        <v>63</v>
      </c>
      <c r="I78" s="33" t="s">
        <v>137</v>
      </c>
      <c r="J78" s="33" t="s">
        <v>133</v>
      </c>
      <c r="K78" s="33" t="s">
        <v>57</v>
      </c>
      <c r="L78" s="33" t="s">
        <v>136</v>
      </c>
      <c r="M78" s="74" t="s">
        <v>64</v>
      </c>
      <c r="N78" s="74" t="s">
        <v>64</v>
      </c>
      <c r="O78" s="74" t="s">
        <v>64</v>
      </c>
      <c r="P78" s="91" t="s">
        <v>692</v>
      </c>
      <c r="Q78" s="33" t="s">
        <v>221</v>
      </c>
      <c r="R78" s="33" t="s">
        <v>60</v>
      </c>
      <c r="S78" s="33" t="s">
        <v>129</v>
      </c>
      <c r="T78" s="32" t="s">
        <v>499</v>
      </c>
      <c r="U78" s="42"/>
      <c r="V78" s="42"/>
      <c r="W78" s="42"/>
    </row>
    <row r="79" spans="1:28" s="83" customFormat="1" ht="16.5" x14ac:dyDescent="0.3">
      <c r="A79" s="4">
        <v>78</v>
      </c>
      <c r="B79" s="4" t="s">
        <v>298</v>
      </c>
      <c r="C79" s="3" t="s">
        <v>114</v>
      </c>
      <c r="D79" s="4">
        <v>0.9</v>
      </c>
      <c r="E79" s="4">
        <v>8</v>
      </c>
      <c r="F79" s="4" t="s">
        <v>218</v>
      </c>
      <c r="G79" s="4" t="s">
        <v>63</v>
      </c>
      <c r="H79" s="4" t="s">
        <v>63</v>
      </c>
      <c r="I79" s="4" t="s">
        <v>137</v>
      </c>
      <c r="J79" s="4" t="s">
        <v>133</v>
      </c>
      <c r="K79" s="4" t="s">
        <v>57</v>
      </c>
      <c r="L79" s="4" t="s">
        <v>136</v>
      </c>
      <c r="M79" s="76">
        <v>0.95620000000000005</v>
      </c>
      <c r="N79" s="9" t="s">
        <v>647</v>
      </c>
      <c r="O79" s="9" t="s">
        <v>448</v>
      </c>
      <c r="P79" s="111" t="s">
        <v>692</v>
      </c>
      <c r="Q79" s="4" t="s">
        <v>221</v>
      </c>
      <c r="R79" s="4" t="s">
        <v>60</v>
      </c>
      <c r="S79" s="4" t="s">
        <v>129</v>
      </c>
      <c r="T79" s="2" t="s">
        <v>499</v>
      </c>
      <c r="U79" s="56" t="s">
        <v>125</v>
      </c>
      <c r="V79" s="56" t="s">
        <v>125</v>
      </c>
      <c r="W79" s="56" t="s">
        <v>125</v>
      </c>
      <c r="X79" s="8"/>
      <c r="Y79" s="8"/>
      <c r="Z79" s="8"/>
      <c r="AA79" s="8"/>
      <c r="AB79" s="8"/>
    </row>
    <row r="80" spans="1:28" ht="16.5" x14ac:dyDescent="0.3">
      <c r="A80" s="33">
        <v>79</v>
      </c>
      <c r="B80" s="33" t="s">
        <v>492</v>
      </c>
      <c r="C80" s="34" t="s">
        <v>115</v>
      </c>
      <c r="D80" s="33">
        <v>0.9</v>
      </c>
      <c r="E80" s="33">
        <v>8</v>
      </c>
      <c r="F80" s="33" t="s">
        <v>218</v>
      </c>
      <c r="G80" s="33" t="s">
        <v>63</v>
      </c>
      <c r="H80" s="33" t="s">
        <v>63</v>
      </c>
      <c r="I80" s="33" t="s">
        <v>137</v>
      </c>
      <c r="J80" s="33" t="s">
        <v>133</v>
      </c>
      <c r="K80" s="33" t="s">
        <v>57</v>
      </c>
      <c r="L80" s="33" t="s">
        <v>136</v>
      </c>
      <c r="M80" s="74" t="s">
        <v>64</v>
      </c>
      <c r="N80" s="74" t="s">
        <v>64</v>
      </c>
      <c r="O80" s="74" t="s">
        <v>64</v>
      </c>
      <c r="P80" s="91" t="s">
        <v>692</v>
      </c>
      <c r="Q80" s="33" t="s">
        <v>221</v>
      </c>
      <c r="R80" s="33" t="s">
        <v>60</v>
      </c>
      <c r="S80" s="33" t="s">
        <v>129</v>
      </c>
      <c r="T80" s="32" t="s">
        <v>499</v>
      </c>
      <c r="U80" s="42"/>
      <c r="V80" s="42"/>
      <c r="W80" s="42"/>
    </row>
    <row r="81" spans="1:28" s="83" customFormat="1" ht="16.5" x14ac:dyDescent="0.3">
      <c r="A81" s="4">
        <v>80</v>
      </c>
      <c r="B81" s="4" t="s">
        <v>299</v>
      </c>
      <c r="C81" s="3" t="s">
        <v>116</v>
      </c>
      <c r="D81" s="4">
        <v>0.9</v>
      </c>
      <c r="E81" s="4">
        <v>8</v>
      </c>
      <c r="F81" s="4" t="s">
        <v>218</v>
      </c>
      <c r="G81" s="4" t="s">
        <v>63</v>
      </c>
      <c r="H81" s="4" t="s">
        <v>63</v>
      </c>
      <c r="I81" s="4" t="s">
        <v>137</v>
      </c>
      <c r="J81" s="4" t="s">
        <v>133</v>
      </c>
      <c r="K81" s="4" t="s">
        <v>57</v>
      </c>
      <c r="L81" s="4" t="s">
        <v>136</v>
      </c>
      <c r="M81" s="76">
        <v>0.95620000000000005</v>
      </c>
      <c r="N81" s="9" t="s">
        <v>647</v>
      </c>
      <c r="O81" s="9" t="s">
        <v>448</v>
      </c>
      <c r="P81" s="111" t="s">
        <v>692</v>
      </c>
      <c r="Q81" s="4" t="s">
        <v>221</v>
      </c>
      <c r="R81" s="4" t="s">
        <v>60</v>
      </c>
      <c r="S81" s="4" t="s">
        <v>129</v>
      </c>
      <c r="T81" s="2" t="s">
        <v>499</v>
      </c>
      <c r="U81" s="56" t="s">
        <v>125</v>
      </c>
      <c r="V81" s="56" t="s">
        <v>125</v>
      </c>
      <c r="W81" s="56" t="s">
        <v>125</v>
      </c>
      <c r="X81" s="8"/>
      <c r="Y81" s="8"/>
      <c r="Z81" s="8"/>
      <c r="AA81" s="8"/>
      <c r="AB81" s="8"/>
    </row>
    <row r="82" spans="1:28" ht="16.5" x14ac:dyDescent="0.3">
      <c r="A82" s="33">
        <v>81</v>
      </c>
      <c r="B82" s="33" t="s">
        <v>493</v>
      </c>
      <c r="C82" s="34" t="s">
        <v>117</v>
      </c>
      <c r="D82" s="33">
        <v>0.9</v>
      </c>
      <c r="E82" s="33">
        <v>8</v>
      </c>
      <c r="F82" s="33" t="s">
        <v>218</v>
      </c>
      <c r="G82" s="33" t="s">
        <v>63</v>
      </c>
      <c r="H82" s="33" t="s">
        <v>63</v>
      </c>
      <c r="I82" s="33" t="s">
        <v>137</v>
      </c>
      <c r="J82" s="33" t="s">
        <v>133</v>
      </c>
      <c r="K82" s="33" t="s">
        <v>57</v>
      </c>
      <c r="L82" s="33" t="s">
        <v>136</v>
      </c>
      <c r="M82" s="74" t="s">
        <v>64</v>
      </c>
      <c r="N82" s="74" t="s">
        <v>64</v>
      </c>
      <c r="O82" s="74" t="s">
        <v>64</v>
      </c>
      <c r="P82" s="91" t="s">
        <v>692</v>
      </c>
      <c r="Q82" s="33" t="s">
        <v>221</v>
      </c>
      <c r="R82" s="33" t="s">
        <v>60</v>
      </c>
      <c r="S82" s="33" t="s">
        <v>129</v>
      </c>
      <c r="T82" s="32" t="s">
        <v>499</v>
      </c>
      <c r="U82" s="42"/>
      <c r="V82" s="42"/>
      <c r="W82" s="42"/>
    </row>
    <row r="83" spans="1:28" s="83" customFormat="1" ht="16.5" x14ac:dyDescent="0.3">
      <c r="A83" s="4">
        <v>82</v>
      </c>
      <c r="B83" s="4" t="s">
        <v>300</v>
      </c>
      <c r="C83" s="3" t="s">
        <v>118</v>
      </c>
      <c r="D83" s="4">
        <v>0.9</v>
      </c>
      <c r="E83" s="4">
        <v>8</v>
      </c>
      <c r="F83" s="4" t="s">
        <v>218</v>
      </c>
      <c r="G83" s="4" t="s">
        <v>63</v>
      </c>
      <c r="H83" s="4" t="s">
        <v>63</v>
      </c>
      <c r="I83" s="4" t="s">
        <v>226</v>
      </c>
      <c r="J83" s="4" t="s">
        <v>133</v>
      </c>
      <c r="K83" s="4" t="s">
        <v>57</v>
      </c>
      <c r="L83" s="4" t="s">
        <v>136</v>
      </c>
      <c r="M83" s="76">
        <v>0.95620000000000005</v>
      </c>
      <c r="N83" s="9" t="s">
        <v>647</v>
      </c>
      <c r="O83" s="9" t="s">
        <v>448</v>
      </c>
      <c r="P83" s="111" t="s">
        <v>692</v>
      </c>
      <c r="Q83" s="4" t="s">
        <v>221</v>
      </c>
      <c r="R83" s="4" t="s">
        <v>60</v>
      </c>
      <c r="S83" s="4" t="s">
        <v>129</v>
      </c>
      <c r="T83" s="2" t="s">
        <v>499</v>
      </c>
      <c r="U83" s="56" t="s">
        <v>125</v>
      </c>
      <c r="V83" s="56" t="s">
        <v>125</v>
      </c>
      <c r="W83" s="56" t="s">
        <v>125</v>
      </c>
      <c r="X83" s="8"/>
      <c r="Y83" s="8"/>
      <c r="Z83" s="8"/>
      <c r="AA83" s="8"/>
      <c r="AB83" s="8"/>
    </row>
    <row r="84" spans="1:28" ht="16.5" x14ac:dyDescent="0.3">
      <c r="A84" s="33">
        <v>83</v>
      </c>
      <c r="B84" s="33" t="s">
        <v>494</v>
      </c>
      <c r="C84" s="34" t="s">
        <v>119</v>
      </c>
      <c r="D84" s="33">
        <v>0.9</v>
      </c>
      <c r="E84" s="33">
        <v>8</v>
      </c>
      <c r="F84" s="33" t="s">
        <v>218</v>
      </c>
      <c r="G84" s="33" t="s">
        <v>63</v>
      </c>
      <c r="H84" s="33" t="s">
        <v>63</v>
      </c>
      <c r="I84" s="33" t="s">
        <v>226</v>
      </c>
      <c r="J84" s="33" t="s">
        <v>133</v>
      </c>
      <c r="K84" s="33" t="s">
        <v>57</v>
      </c>
      <c r="L84" s="33" t="s">
        <v>136</v>
      </c>
      <c r="M84" s="74" t="s">
        <v>64</v>
      </c>
      <c r="N84" s="74" t="s">
        <v>64</v>
      </c>
      <c r="O84" s="74" t="s">
        <v>64</v>
      </c>
      <c r="P84" s="91" t="s">
        <v>692</v>
      </c>
      <c r="Q84" s="33" t="s">
        <v>221</v>
      </c>
      <c r="R84" s="33" t="s">
        <v>60</v>
      </c>
      <c r="S84" s="33" t="s">
        <v>129</v>
      </c>
      <c r="T84" s="32" t="s">
        <v>499</v>
      </c>
      <c r="U84" s="42"/>
      <c r="V84" s="42"/>
      <c r="W84" s="42"/>
    </row>
    <row r="85" spans="1:28" s="83" customFormat="1" ht="16.5" x14ac:dyDescent="0.3">
      <c r="A85" s="4">
        <v>84</v>
      </c>
      <c r="B85" s="4" t="s">
        <v>301</v>
      </c>
      <c r="C85" s="3" t="s">
        <v>120</v>
      </c>
      <c r="D85" s="4">
        <v>0.9</v>
      </c>
      <c r="E85" s="4">
        <v>8</v>
      </c>
      <c r="F85" s="4" t="s">
        <v>218</v>
      </c>
      <c r="G85" s="4" t="s">
        <v>63</v>
      </c>
      <c r="H85" s="4" t="s">
        <v>63</v>
      </c>
      <c r="I85" s="4" t="s">
        <v>227</v>
      </c>
      <c r="J85" s="4" t="s">
        <v>133</v>
      </c>
      <c r="K85" s="4" t="s">
        <v>57</v>
      </c>
      <c r="L85" s="4" t="s">
        <v>136</v>
      </c>
      <c r="M85" s="76">
        <v>0.95620000000000005</v>
      </c>
      <c r="N85" s="9" t="s">
        <v>647</v>
      </c>
      <c r="O85" s="9" t="s">
        <v>448</v>
      </c>
      <c r="P85" s="111" t="s">
        <v>692</v>
      </c>
      <c r="Q85" s="4" t="s">
        <v>221</v>
      </c>
      <c r="R85" s="4" t="s">
        <v>60</v>
      </c>
      <c r="S85" s="4" t="s">
        <v>129</v>
      </c>
      <c r="T85" s="2" t="s">
        <v>499</v>
      </c>
      <c r="U85" s="56" t="s">
        <v>125</v>
      </c>
      <c r="V85" s="56" t="s">
        <v>125</v>
      </c>
      <c r="W85" s="56" t="s">
        <v>125</v>
      </c>
      <c r="X85" s="8"/>
      <c r="Y85" s="8"/>
      <c r="Z85" s="8"/>
      <c r="AA85" s="8"/>
      <c r="AB85" s="8"/>
    </row>
    <row r="86" spans="1:28" ht="16.5" x14ac:dyDescent="0.3">
      <c r="A86" s="33">
        <v>85</v>
      </c>
      <c r="B86" s="33" t="s">
        <v>495</v>
      </c>
      <c r="C86" s="34" t="s">
        <v>121</v>
      </c>
      <c r="D86" s="33">
        <v>0.9</v>
      </c>
      <c r="E86" s="33">
        <v>8</v>
      </c>
      <c r="F86" s="33" t="s">
        <v>218</v>
      </c>
      <c r="G86" s="33" t="s">
        <v>63</v>
      </c>
      <c r="H86" s="33" t="s">
        <v>63</v>
      </c>
      <c r="I86" s="33" t="s">
        <v>227</v>
      </c>
      <c r="J86" s="33" t="s">
        <v>133</v>
      </c>
      <c r="K86" s="33" t="s">
        <v>57</v>
      </c>
      <c r="L86" s="33" t="s">
        <v>136</v>
      </c>
      <c r="M86" s="74" t="s">
        <v>64</v>
      </c>
      <c r="N86" s="74" t="s">
        <v>64</v>
      </c>
      <c r="O86" s="74" t="s">
        <v>64</v>
      </c>
      <c r="P86" s="91" t="s">
        <v>692</v>
      </c>
      <c r="Q86" s="33" t="s">
        <v>221</v>
      </c>
      <c r="R86" s="33" t="s">
        <v>60</v>
      </c>
      <c r="S86" s="33" t="s">
        <v>129</v>
      </c>
      <c r="T86" s="32" t="s">
        <v>499</v>
      </c>
      <c r="U86" s="42"/>
      <c r="V86" s="42"/>
      <c r="W86" s="42"/>
    </row>
    <row r="87" spans="1:28" s="83" customFormat="1" ht="16.5" x14ac:dyDescent="0.3">
      <c r="A87" s="4">
        <v>86</v>
      </c>
      <c r="B87" s="4" t="s">
        <v>302</v>
      </c>
      <c r="C87" s="3" t="s">
        <v>122</v>
      </c>
      <c r="D87" s="4">
        <v>0.9</v>
      </c>
      <c r="E87" s="4">
        <v>8</v>
      </c>
      <c r="F87" s="4" t="s">
        <v>218</v>
      </c>
      <c r="G87" s="4" t="s">
        <v>63</v>
      </c>
      <c r="H87" s="4" t="s">
        <v>63</v>
      </c>
      <c r="I87" s="4" t="s">
        <v>227</v>
      </c>
      <c r="J87" s="4" t="s">
        <v>133</v>
      </c>
      <c r="K87" s="4" t="s">
        <v>57</v>
      </c>
      <c r="L87" s="4" t="s">
        <v>136</v>
      </c>
      <c r="M87" s="76">
        <v>0.95620000000000005</v>
      </c>
      <c r="N87" s="9" t="s">
        <v>647</v>
      </c>
      <c r="O87" s="9" t="s">
        <v>448</v>
      </c>
      <c r="P87" s="111" t="s">
        <v>692</v>
      </c>
      <c r="Q87" s="4" t="s">
        <v>221</v>
      </c>
      <c r="R87" s="4" t="s">
        <v>60</v>
      </c>
      <c r="S87" s="4" t="s">
        <v>129</v>
      </c>
      <c r="T87" s="2" t="s">
        <v>499</v>
      </c>
      <c r="U87" s="56" t="s">
        <v>125</v>
      </c>
      <c r="V87" s="56" t="s">
        <v>125</v>
      </c>
      <c r="W87" s="56" t="s">
        <v>125</v>
      </c>
      <c r="X87" s="8"/>
      <c r="Y87" s="8"/>
      <c r="Z87" s="8"/>
      <c r="AA87" s="8"/>
      <c r="AB87" s="8"/>
    </row>
    <row r="88" spans="1:28" ht="16.5" x14ac:dyDescent="0.3">
      <c r="A88" s="33">
        <v>87</v>
      </c>
      <c r="B88" s="33" t="s">
        <v>496</v>
      </c>
      <c r="C88" s="34" t="s">
        <v>123</v>
      </c>
      <c r="D88" s="33">
        <v>0.9</v>
      </c>
      <c r="E88" s="33">
        <v>8</v>
      </c>
      <c r="F88" s="33" t="s">
        <v>218</v>
      </c>
      <c r="G88" s="33" t="s">
        <v>63</v>
      </c>
      <c r="H88" s="33" t="s">
        <v>63</v>
      </c>
      <c r="I88" s="33" t="s">
        <v>227</v>
      </c>
      <c r="J88" s="33" t="s">
        <v>133</v>
      </c>
      <c r="K88" s="33" t="s">
        <v>57</v>
      </c>
      <c r="L88" s="33" t="s">
        <v>136</v>
      </c>
      <c r="M88" s="74" t="s">
        <v>64</v>
      </c>
      <c r="N88" s="74" t="s">
        <v>64</v>
      </c>
      <c r="O88" s="74" t="s">
        <v>64</v>
      </c>
      <c r="P88" s="91" t="s">
        <v>692</v>
      </c>
      <c r="Q88" s="33" t="s">
        <v>221</v>
      </c>
      <c r="R88" s="33" t="s">
        <v>60</v>
      </c>
      <c r="S88" s="33" t="s">
        <v>129</v>
      </c>
      <c r="T88" s="32" t="s">
        <v>499</v>
      </c>
      <c r="U88" s="42"/>
      <c r="V88" s="42"/>
      <c r="W88" s="42"/>
    </row>
    <row r="89" spans="1:28" ht="16.5" x14ac:dyDescent="0.2">
      <c r="A89" s="4">
        <v>88</v>
      </c>
      <c r="B89" s="4" t="s">
        <v>452</v>
      </c>
      <c r="C89" s="2" t="s">
        <v>474</v>
      </c>
      <c r="D89" s="4">
        <v>0.8</v>
      </c>
      <c r="E89" s="4">
        <v>4</v>
      </c>
      <c r="F89" s="4" t="s">
        <v>218</v>
      </c>
      <c r="G89" s="4" t="s">
        <v>697</v>
      </c>
      <c r="H89" s="4" t="s">
        <v>133</v>
      </c>
      <c r="I89" s="4" t="s">
        <v>501</v>
      </c>
      <c r="J89" s="4" t="s">
        <v>133</v>
      </c>
      <c r="K89" s="4" t="s">
        <v>57</v>
      </c>
      <c r="L89" s="4" t="s">
        <v>136</v>
      </c>
      <c r="M89" s="76">
        <v>0.95469999999999999</v>
      </c>
      <c r="N89" s="112" t="s">
        <v>500</v>
      </c>
      <c r="O89" s="112" t="s">
        <v>436</v>
      </c>
      <c r="P89" s="4" t="s">
        <v>498</v>
      </c>
      <c r="Q89" s="4" t="s">
        <v>646</v>
      </c>
      <c r="R89" s="4" t="s">
        <v>60</v>
      </c>
      <c r="S89" s="4" t="s">
        <v>502</v>
      </c>
      <c r="T89" s="2" t="s">
        <v>648</v>
      </c>
      <c r="U89" s="56" t="s">
        <v>125</v>
      </c>
      <c r="V89" s="56" t="s">
        <v>125</v>
      </c>
      <c r="W89" s="56" t="s">
        <v>125</v>
      </c>
    </row>
    <row r="90" spans="1:28" ht="16.5" x14ac:dyDescent="0.2">
      <c r="A90" s="33">
        <v>89</v>
      </c>
      <c r="B90" s="33" t="s">
        <v>453</v>
      </c>
      <c r="C90" s="34" t="s">
        <v>406</v>
      </c>
      <c r="D90" s="33">
        <v>0.8</v>
      </c>
      <c r="E90" s="33">
        <v>4</v>
      </c>
      <c r="F90" s="33" t="s">
        <v>218</v>
      </c>
      <c r="G90" s="33" t="s">
        <v>697</v>
      </c>
      <c r="H90" s="33" t="s">
        <v>133</v>
      </c>
      <c r="I90" s="33" t="s">
        <v>501</v>
      </c>
      <c r="J90" s="33" t="s">
        <v>133</v>
      </c>
      <c r="K90" s="33" t="s">
        <v>57</v>
      </c>
      <c r="L90" s="33" t="s">
        <v>136</v>
      </c>
      <c r="M90" s="74">
        <v>0.95469999999999999</v>
      </c>
      <c r="N90" s="37" t="s">
        <v>500</v>
      </c>
      <c r="O90" s="37" t="s">
        <v>436</v>
      </c>
      <c r="P90" s="33" t="s">
        <v>498</v>
      </c>
      <c r="Q90" s="33" t="s">
        <v>646</v>
      </c>
      <c r="R90" s="33" t="s">
        <v>60</v>
      </c>
      <c r="S90" s="33" t="s">
        <v>502</v>
      </c>
      <c r="T90" s="32" t="s">
        <v>648</v>
      </c>
      <c r="U90" s="42" t="s">
        <v>125</v>
      </c>
      <c r="V90" s="42" t="s">
        <v>125</v>
      </c>
      <c r="W90" s="42" t="s">
        <v>125</v>
      </c>
    </row>
    <row r="91" spans="1:28" s="83" customFormat="1" ht="15.6" customHeight="1" x14ac:dyDescent="0.2">
      <c r="A91" s="4">
        <v>90</v>
      </c>
      <c r="B91" s="4" t="s">
        <v>462</v>
      </c>
      <c r="C91" s="3" t="s">
        <v>409</v>
      </c>
      <c r="D91" s="4">
        <v>0.8</v>
      </c>
      <c r="E91" s="4">
        <v>4</v>
      </c>
      <c r="F91" s="4" t="s">
        <v>218</v>
      </c>
      <c r="G91" s="4" t="s">
        <v>696</v>
      </c>
      <c r="H91" s="4" t="s">
        <v>133</v>
      </c>
      <c r="I91" s="4" t="s">
        <v>501</v>
      </c>
      <c r="J91" s="4" t="s">
        <v>133</v>
      </c>
      <c r="K91" s="4" t="s">
        <v>57</v>
      </c>
      <c r="L91" s="4" t="s">
        <v>136</v>
      </c>
      <c r="M91" s="76">
        <v>0.95469999999999999</v>
      </c>
      <c r="N91" s="9" t="s">
        <v>500</v>
      </c>
      <c r="O91" s="9" t="s">
        <v>436</v>
      </c>
      <c r="P91" s="4" t="s">
        <v>498</v>
      </c>
      <c r="Q91" s="4" t="s">
        <v>646</v>
      </c>
      <c r="R91" s="4" t="s">
        <v>60</v>
      </c>
      <c r="S91" s="4" t="s">
        <v>502</v>
      </c>
      <c r="T91" s="2" t="s">
        <v>648</v>
      </c>
      <c r="U91" s="56" t="s">
        <v>125</v>
      </c>
      <c r="V91" s="56" t="s">
        <v>125</v>
      </c>
      <c r="W91" s="56" t="s">
        <v>125</v>
      </c>
      <c r="X91" s="8"/>
      <c r="Y91" s="8"/>
      <c r="Z91" s="8"/>
      <c r="AA91" s="8"/>
      <c r="AB91" s="8"/>
    </row>
    <row r="92" spans="1:28" ht="15.6" customHeight="1" x14ac:dyDescent="0.2">
      <c r="A92" s="33">
        <v>91</v>
      </c>
      <c r="B92" s="33" t="s">
        <v>463</v>
      </c>
      <c r="C92" s="34" t="s">
        <v>413</v>
      </c>
      <c r="D92" s="33">
        <v>0.8</v>
      </c>
      <c r="E92" s="33">
        <v>4</v>
      </c>
      <c r="F92" s="33" t="s">
        <v>218</v>
      </c>
      <c r="G92" s="33" t="s">
        <v>696</v>
      </c>
      <c r="H92" s="33" t="s">
        <v>133</v>
      </c>
      <c r="I92" s="33" t="s">
        <v>501</v>
      </c>
      <c r="J92" s="33" t="s">
        <v>133</v>
      </c>
      <c r="K92" s="33" t="s">
        <v>57</v>
      </c>
      <c r="L92" s="33" t="s">
        <v>136</v>
      </c>
      <c r="M92" s="74">
        <v>0.95469999999999999</v>
      </c>
      <c r="N92" s="37" t="s">
        <v>500</v>
      </c>
      <c r="O92" s="37" t="s">
        <v>436</v>
      </c>
      <c r="P92" s="33" t="s">
        <v>498</v>
      </c>
      <c r="Q92" s="33" t="s">
        <v>646</v>
      </c>
      <c r="R92" s="33" t="s">
        <v>60</v>
      </c>
      <c r="S92" s="33" t="s">
        <v>502</v>
      </c>
      <c r="T92" s="32" t="s">
        <v>648</v>
      </c>
      <c r="U92" s="42" t="s">
        <v>125</v>
      </c>
      <c r="V92" s="42" t="s">
        <v>125</v>
      </c>
      <c r="W92" s="42" t="s">
        <v>125</v>
      </c>
    </row>
    <row r="93" spans="1:28" s="83" customFormat="1" ht="16.5" x14ac:dyDescent="0.2">
      <c r="A93" s="4">
        <v>92</v>
      </c>
      <c r="B93" s="4" t="s">
        <v>465</v>
      </c>
      <c r="C93" s="3" t="s">
        <v>416</v>
      </c>
      <c r="D93" s="4">
        <v>0.8</v>
      </c>
      <c r="E93" s="4">
        <v>4</v>
      </c>
      <c r="F93" s="4" t="s">
        <v>218</v>
      </c>
      <c r="G93" s="4" t="s">
        <v>696</v>
      </c>
      <c r="H93" s="4" t="s">
        <v>133</v>
      </c>
      <c r="I93" s="4" t="s">
        <v>501</v>
      </c>
      <c r="J93" s="4" t="s">
        <v>133</v>
      </c>
      <c r="K93" s="4" t="s">
        <v>57</v>
      </c>
      <c r="L93" s="4" t="s">
        <v>136</v>
      </c>
      <c r="M93" s="76">
        <v>0.95469999999999999</v>
      </c>
      <c r="N93" s="9" t="s">
        <v>500</v>
      </c>
      <c r="O93" s="9" t="s">
        <v>436</v>
      </c>
      <c r="P93" s="4" t="s">
        <v>498</v>
      </c>
      <c r="Q93" s="4" t="s">
        <v>646</v>
      </c>
      <c r="R93" s="4" t="s">
        <v>60</v>
      </c>
      <c r="S93" s="4" t="s">
        <v>502</v>
      </c>
      <c r="T93" s="2" t="s">
        <v>648</v>
      </c>
      <c r="U93" s="56" t="s">
        <v>125</v>
      </c>
      <c r="V93" s="56" t="s">
        <v>125</v>
      </c>
      <c r="W93" s="56" t="s">
        <v>125</v>
      </c>
      <c r="X93" s="8"/>
      <c r="Y93" s="8"/>
      <c r="Z93" s="8"/>
      <c r="AA93" s="8"/>
      <c r="AB93" s="8"/>
    </row>
    <row r="94" spans="1:28" ht="16.5" x14ac:dyDescent="0.2">
      <c r="A94" s="33">
        <v>93</v>
      </c>
      <c r="B94" s="33" t="s">
        <v>469</v>
      </c>
      <c r="C94" s="34" t="s">
        <v>475</v>
      </c>
      <c r="D94" s="33">
        <v>0.8</v>
      </c>
      <c r="E94" s="33">
        <v>4</v>
      </c>
      <c r="F94" s="33" t="s">
        <v>218</v>
      </c>
      <c r="G94" s="33" t="s">
        <v>696</v>
      </c>
      <c r="H94" s="33" t="s">
        <v>133</v>
      </c>
      <c r="I94" s="33" t="s">
        <v>501</v>
      </c>
      <c r="J94" s="33" t="s">
        <v>133</v>
      </c>
      <c r="K94" s="33" t="s">
        <v>57</v>
      </c>
      <c r="L94" s="33" t="s">
        <v>136</v>
      </c>
      <c r="M94" s="74">
        <v>0.95469999999999999</v>
      </c>
      <c r="N94" s="37" t="s">
        <v>500</v>
      </c>
      <c r="O94" s="37" t="s">
        <v>436</v>
      </c>
      <c r="P94" s="33" t="s">
        <v>498</v>
      </c>
      <c r="Q94" s="33" t="s">
        <v>646</v>
      </c>
      <c r="R94" s="33" t="s">
        <v>60</v>
      </c>
      <c r="S94" s="33" t="s">
        <v>502</v>
      </c>
      <c r="T94" s="32" t="s">
        <v>648</v>
      </c>
      <c r="U94" s="42" t="s">
        <v>125</v>
      </c>
      <c r="V94" s="42" t="s">
        <v>125</v>
      </c>
      <c r="W94" s="42" t="s">
        <v>125</v>
      </c>
    </row>
    <row r="95" spans="1:28" s="83" customFormat="1" ht="16.5" x14ac:dyDescent="0.2">
      <c r="A95" s="4">
        <v>94</v>
      </c>
      <c r="B95" s="4" t="s">
        <v>473</v>
      </c>
      <c r="C95" s="3" t="s">
        <v>476</v>
      </c>
      <c r="D95" s="4">
        <v>0.8</v>
      </c>
      <c r="E95" s="4">
        <v>4</v>
      </c>
      <c r="F95" s="4" t="s">
        <v>218</v>
      </c>
      <c r="G95" s="4" t="s">
        <v>696</v>
      </c>
      <c r="H95" s="4" t="s">
        <v>133</v>
      </c>
      <c r="I95" s="4" t="s">
        <v>501</v>
      </c>
      <c r="J95" s="4" t="s">
        <v>133</v>
      </c>
      <c r="K95" s="4" t="s">
        <v>57</v>
      </c>
      <c r="L95" s="4" t="s">
        <v>136</v>
      </c>
      <c r="M95" s="76">
        <v>0.95469999999999999</v>
      </c>
      <c r="N95" s="9" t="s">
        <v>500</v>
      </c>
      <c r="O95" s="9" t="s">
        <v>436</v>
      </c>
      <c r="P95" s="4" t="s">
        <v>498</v>
      </c>
      <c r="Q95" s="4" t="s">
        <v>646</v>
      </c>
      <c r="R95" s="4" t="s">
        <v>60</v>
      </c>
      <c r="S95" s="4" t="s">
        <v>502</v>
      </c>
      <c r="T95" s="2" t="s">
        <v>648</v>
      </c>
      <c r="U95" s="56" t="s">
        <v>125</v>
      </c>
      <c r="V95" s="56" t="s">
        <v>125</v>
      </c>
      <c r="W95" s="56" t="s">
        <v>125</v>
      </c>
      <c r="X95" s="8"/>
      <c r="Y95" s="8"/>
      <c r="Z95" s="8"/>
      <c r="AA95" s="8"/>
      <c r="AB95" s="8"/>
    </row>
    <row r="96" spans="1:28" ht="16.5" x14ac:dyDescent="0.2">
      <c r="A96" s="33">
        <v>95</v>
      </c>
      <c r="B96" s="33" t="s">
        <v>472</v>
      </c>
      <c r="C96" s="34" t="s">
        <v>477</v>
      </c>
      <c r="D96" s="33">
        <v>0.8</v>
      </c>
      <c r="E96" s="33">
        <v>4</v>
      </c>
      <c r="F96" s="33" t="s">
        <v>218</v>
      </c>
      <c r="G96" s="33" t="s">
        <v>696</v>
      </c>
      <c r="H96" s="33" t="s">
        <v>133</v>
      </c>
      <c r="I96" s="33" t="s">
        <v>501</v>
      </c>
      <c r="J96" s="33" t="s">
        <v>133</v>
      </c>
      <c r="K96" s="33" t="s">
        <v>57</v>
      </c>
      <c r="L96" s="33" t="s">
        <v>136</v>
      </c>
      <c r="M96" s="74">
        <v>0.95620000000000005</v>
      </c>
      <c r="N96" s="37" t="s">
        <v>647</v>
      </c>
      <c r="O96" s="37" t="s">
        <v>435</v>
      </c>
      <c r="P96" s="33" t="s">
        <v>498</v>
      </c>
      <c r="Q96" s="33" t="s">
        <v>646</v>
      </c>
      <c r="R96" s="33" t="s">
        <v>60</v>
      </c>
      <c r="S96" s="33" t="s">
        <v>502</v>
      </c>
      <c r="T96" s="32" t="s">
        <v>648</v>
      </c>
      <c r="U96" s="42" t="s">
        <v>125</v>
      </c>
      <c r="V96" s="42" t="s">
        <v>125</v>
      </c>
      <c r="W96" s="42" t="s">
        <v>125</v>
      </c>
    </row>
    <row r="97" spans="1:28" s="83" customFormat="1" ht="16.5" x14ac:dyDescent="0.2">
      <c r="A97" s="4">
        <v>96</v>
      </c>
      <c r="B97" s="4" t="s">
        <v>471</v>
      </c>
      <c r="C97" s="3" t="s">
        <v>478</v>
      </c>
      <c r="D97" s="4">
        <v>0.8</v>
      </c>
      <c r="E97" s="4">
        <v>4</v>
      </c>
      <c r="F97" s="4" t="s">
        <v>218</v>
      </c>
      <c r="G97" s="4" t="s">
        <v>696</v>
      </c>
      <c r="H97" s="4" t="s">
        <v>133</v>
      </c>
      <c r="I97" s="4" t="s">
        <v>501</v>
      </c>
      <c r="J97" s="4" t="s">
        <v>133</v>
      </c>
      <c r="K97" s="4" t="s">
        <v>57</v>
      </c>
      <c r="L97" s="4" t="s">
        <v>136</v>
      </c>
      <c r="M97" s="76">
        <v>0.95620000000000005</v>
      </c>
      <c r="N97" s="9" t="s">
        <v>647</v>
      </c>
      <c r="O97" s="9" t="s">
        <v>448</v>
      </c>
      <c r="P97" s="4" t="s">
        <v>498</v>
      </c>
      <c r="Q97" s="4" t="s">
        <v>646</v>
      </c>
      <c r="R97" s="4" t="s">
        <v>60</v>
      </c>
      <c r="S97" s="4" t="s">
        <v>502</v>
      </c>
      <c r="T97" s="2" t="s">
        <v>648</v>
      </c>
      <c r="U97" s="56" t="s">
        <v>125</v>
      </c>
      <c r="V97" s="56" t="s">
        <v>125</v>
      </c>
      <c r="W97" s="56" t="s">
        <v>125</v>
      </c>
      <c r="X97" s="8"/>
      <c r="Y97" s="8"/>
      <c r="Z97" s="8"/>
      <c r="AA97" s="8"/>
      <c r="AB97" s="8"/>
    </row>
    <row r="98" spans="1:28" ht="16.5" x14ac:dyDescent="0.2">
      <c r="A98" s="33">
        <v>97</v>
      </c>
      <c r="B98" s="33" t="s">
        <v>470</v>
      </c>
      <c r="C98" s="34" t="s">
        <v>479</v>
      </c>
      <c r="D98" s="33">
        <v>0.8</v>
      </c>
      <c r="E98" s="33">
        <v>4</v>
      </c>
      <c r="F98" s="33" t="s">
        <v>218</v>
      </c>
      <c r="G98" s="33" t="s">
        <v>696</v>
      </c>
      <c r="H98" s="33" t="s">
        <v>133</v>
      </c>
      <c r="I98" s="33" t="s">
        <v>501</v>
      </c>
      <c r="J98" s="33" t="s">
        <v>133</v>
      </c>
      <c r="K98" s="33" t="s">
        <v>57</v>
      </c>
      <c r="L98" s="33" t="s">
        <v>136</v>
      </c>
      <c r="M98" s="74">
        <v>0.95620000000000005</v>
      </c>
      <c r="N98" s="37" t="s">
        <v>647</v>
      </c>
      <c r="O98" s="37" t="s">
        <v>448</v>
      </c>
      <c r="P98" s="33" t="s">
        <v>498</v>
      </c>
      <c r="Q98" s="33" t="s">
        <v>646</v>
      </c>
      <c r="R98" s="33" t="s">
        <v>60</v>
      </c>
      <c r="S98" s="33" t="s">
        <v>502</v>
      </c>
      <c r="T98" s="32" t="s">
        <v>648</v>
      </c>
      <c r="U98" s="42" t="s">
        <v>125</v>
      </c>
      <c r="V98" s="42" t="s">
        <v>125</v>
      </c>
      <c r="W98" s="42" t="s">
        <v>125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5333-B09A-4E2C-9EF6-EEC388E1BF79}">
  <dimension ref="A1:AZ70"/>
  <sheetViews>
    <sheetView zoomScale="80" zoomScaleNormal="80" workbookViewId="0">
      <selection activeCell="F8" sqref="F8"/>
    </sheetView>
  </sheetViews>
  <sheetFormatPr defaultColWidth="9" defaultRowHeight="14.25" x14ac:dyDescent="0.2"/>
  <cols>
    <col min="1" max="1" width="5.5" customWidth="1"/>
    <col min="2" max="2" width="24.5" style="69" bestFit="1" customWidth="1"/>
    <col min="3" max="3" width="46.5" bestFit="1" customWidth="1"/>
    <col min="4" max="4" width="17.875" bestFit="1" customWidth="1"/>
    <col min="5" max="6" width="20.75" customWidth="1"/>
    <col min="7" max="9" width="14.75" customWidth="1"/>
    <col min="10" max="11" width="10.75" customWidth="1"/>
    <col min="12" max="15" width="14.75" customWidth="1"/>
    <col min="16" max="19" width="10.75" customWidth="1"/>
    <col min="20" max="20" width="25" bestFit="1" customWidth="1"/>
    <col min="21" max="24" width="10.75" customWidth="1"/>
  </cols>
  <sheetData>
    <row r="1" spans="1:24" s="8" customFormat="1" ht="36" x14ac:dyDescent="0.2">
      <c r="A1" s="30" t="s">
        <v>0</v>
      </c>
      <c r="B1" s="30" t="s">
        <v>1</v>
      </c>
      <c r="C1" s="30" t="s">
        <v>2</v>
      </c>
      <c r="D1" s="30" t="s">
        <v>238</v>
      </c>
      <c r="E1" s="30" t="s">
        <v>233</v>
      </c>
      <c r="F1" s="30" t="s">
        <v>154</v>
      </c>
      <c r="G1" s="30" t="s">
        <v>434</v>
      </c>
      <c r="H1" s="30" t="s">
        <v>239</v>
      </c>
      <c r="I1" s="30" t="s">
        <v>240</v>
      </c>
      <c r="J1" s="30" t="s">
        <v>241</v>
      </c>
      <c r="K1" s="30" t="s">
        <v>242</v>
      </c>
      <c r="L1" s="30" t="s">
        <v>155</v>
      </c>
      <c r="M1" s="30" t="s">
        <v>268</v>
      </c>
      <c r="N1" s="30" t="s">
        <v>245</v>
      </c>
      <c r="O1" s="30" t="s">
        <v>254</v>
      </c>
      <c r="P1" s="30" t="s">
        <v>269</v>
      </c>
      <c r="Q1" s="30" t="s">
        <v>248</v>
      </c>
      <c r="R1" s="30" t="s">
        <v>380</v>
      </c>
      <c r="S1" s="30" t="s">
        <v>365</v>
      </c>
      <c r="T1" s="30" t="s">
        <v>250</v>
      </c>
      <c r="U1" s="30" t="s">
        <v>253</v>
      </c>
      <c r="V1" s="30" t="s">
        <v>251</v>
      </c>
      <c r="W1" s="30" t="s">
        <v>252</v>
      </c>
      <c r="X1" s="30" t="s">
        <v>367</v>
      </c>
    </row>
    <row r="2" spans="1:24" s="8" customFormat="1" ht="33" x14ac:dyDescent="0.2">
      <c r="A2" s="33">
        <v>1</v>
      </c>
      <c r="B2" s="33" t="s">
        <v>848</v>
      </c>
      <c r="C2" s="32" t="s">
        <v>831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</row>
    <row r="3" spans="1:24" s="8" customFormat="1" ht="33" x14ac:dyDescent="0.2">
      <c r="A3" s="4">
        <v>2</v>
      </c>
      <c r="B3" s="4" t="s">
        <v>849</v>
      </c>
      <c r="C3" s="2" t="s">
        <v>832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</row>
    <row r="4" spans="1:24" s="8" customFormat="1" ht="33" x14ac:dyDescent="0.2">
      <c r="A4" s="33">
        <v>3</v>
      </c>
      <c r="B4" s="33" t="s">
        <v>850</v>
      </c>
      <c r="C4" s="32" t="s">
        <v>833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</row>
    <row r="5" spans="1:24" s="8" customFormat="1" ht="33" x14ac:dyDescent="0.2">
      <c r="A5" s="4">
        <v>4</v>
      </c>
      <c r="B5" s="4" t="s">
        <v>851</v>
      </c>
      <c r="C5" s="2" t="s">
        <v>834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</row>
    <row r="6" spans="1:24" s="8" customFormat="1" ht="33" x14ac:dyDescent="0.2">
      <c r="A6" s="33">
        <v>5</v>
      </c>
      <c r="B6" s="33" t="s">
        <v>852</v>
      </c>
      <c r="C6" s="32" t="s">
        <v>835</v>
      </c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</row>
    <row r="7" spans="1:24" s="8" customFormat="1" ht="33" x14ac:dyDescent="0.2">
      <c r="A7" s="4">
        <v>6</v>
      </c>
      <c r="B7" s="4" t="s">
        <v>853</v>
      </c>
      <c r="C7" s="2" t="s">
        <v>836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</row>
    <row r="8" spans="1:24" s="8" customFormat="1" ht="33" x14ac:dyDescent="0.2">
      <c r="A8" s="33">
        <v>7</v>
      </c>
      <c r="B8" s="33" t="s">
        <v>854</v>
      </c>
      <c r="C8" s="32" t="s">
        <v>837</v>
      </c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</row>
    <row r="9" spans="1:24" s="8" customFormat="1" ht="33" x14ac:dyDescent="0.2">
      <c r="A9" s="4">
        <v>8</v>
      </c>
      <c r="B9" s="4" t="s">
        <v>855</v>
      </c>
      <c r="C9" s="2" t="s">
        <v>838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</row>
    <row r="10" spans="1:24" s="8" customFormat="1" ht="33" x14ac:dyDescent="0.2">
      <c r="A10" s="33">
        <v>9</v>
      </c>
      <c r="B10" s="33" t="s">
        <v>856</v>
      </c>
      <c r="C10" s="32" t="s">
        <v>839</v>
      </c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</row>
    <row r="11" spans="1:24" s="8" customFormat="1" ht="33" x14ac:dyDescent="0.2">
      <c r="A11" s="4">
        <v>10</v>
      </c>
      <c r="B11" s="4" t="s">
        <v>857</v>
      </c>
      <c r="C11" s="2" t="s">
        <v>840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</row>
    <row r="12" spans="1:24" s="8" customFormat="1" ht="33" x14ac:dyDescent="0.2">
      <c r="A12" s="33">
        <v>11</v>
      </c>
      <c r="B12" s="33" t="s">
        <v>858</v>
      </c>
      <c r="C12" s="32" t="s">
        <v>841</v>
      </c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</row>
    <row r="13" spans="1:24" s="8" customFormat="1" ht="33" x14ac:dyDescent="0.2">
      <c r="A13" s="4">
        <v>12</v>
      </c>
      <c r="B13" s="4" t="s">
        <v>859</v>
      </c>
      <c r="C13" s="2" t="s">
        <v>842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</row>
    <row r="14" spans="1:24" s="8" customFormat="1" ht="33" x14ac:dyDescent="0.2">
      <c r="A14" s="33">
        <v>13</v>
      </c>
      <c r="B14" s="33" t="s">
        <v>860</v>
      </c>
      <c r="C14" s="32" t="s">
        <v>843</v>
      </c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</row>
    <row r="15" spans="1:24" s="8" customFormat="1" ht="33" x14ac:dyDescent="0.2">
      <c r="A15" s="4">
        <v>14</v>
      </c>
      <c r="B15" s="4" t="s">
        <v>861</v>
      </c>
      <c r="C15" s="2" t="s">
        <v>844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</row>
    <row r="16" spans="1:24" s="8" customFormat="1" ht="33" x14ac:dyDescent="0.2">
      <c r="A16" s="33">
        <v>15</v>
      </c>
      <c r="B16" s="33" t="s">
        <v>862</v>
      </c>
      <c r="C16" s="32" t="s">
        <v>845</v>
      </c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</row>
    <row r="17" spans="1:24" s="8" customFormat="1" ht="33" x14ac:dyDescent="0.2">
      <c r="A17" s="4">
        <v>16</v>
      </c>
      <c r="B17" s="4" t="s">
        <v>863</v>
      </c>
      <c r="C17" s="2" t="s">
        <v>846</v>
      </c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</row>
    <row r="18" spans="1:24" s="8" customFormat="1" ht="33" x14ac:dyDescent="0.2">
      <c r="A18" s="33">
        <v>17</v>
      </c>
      <c r="B18" s="33" t="s">
        <v>864</v>
      </c>
      <c r="C18" s="32" t="s">
        <v>847</v>
      </c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</row>
    <row r="19" spans="1:24" s="8" customFormat="1" ht="33" x14ac:dyDescent="0.2">
      <c r="A19" s="4">
        <v>18</v>
      </c>
      <c r="B19" s="4" t="s">
        <v>865</v>
      </c>
      <c r="C19" s="2" t="s">
        <v>879</v>
      </c>
      <c r="D19" s="15" t="s">
        <v>427</v>
      </c>
      <c r="E19" s="15" t="s">
        <v>429</v>
      </c>
      <c r="F19" s="9" t="s">
        <v>431</v>
      </c>
      <c r="G19" s="9" t="s">
        <v>374</v>
      </c>
      <c r="H19" s="6" t="s">
        <v>236</v>
      </c>
      <c r="I19" s="61">
        <v>1</v>
      </c>
      <c r="J19" s="77">
        <v>6.4999999999999997E-3</v>
      </c>
      <c r="K19" s="62">
        <v>49.99</v>
      </c>
      <c r="L19" s="9" t="s">
        <v>435</v>
      </c>
      <c r="M19" s="64" t="s">
        <v>438</v>
      </c>
      <c r="N19" s="64" t="s">
        <v>440</v>
      </c>
      <c r="O19" s="1" t="s">
        <v>256</v>
      </c>
      <c r="P19" s="15" t="s">
        <v>277</v>
      </c>
      <c r="Q19" s="1">
        <v>0</v>
      </c>
      <c r="R19" s="1">
        <v>0</v>
      </c>
      <c r="S19" s="1">
        <v>0</v>
      </c>
      <c r="T19" s="9" t="s">
        <v>443</v>
      </c>
      <c r="U19" s="66">
        <v>0.9</v>
      </c>
      <c r="V19" s="61">
        <v>3</v>
      </c>
      <c r="W19" s="1">
        <v>10</v>
      </c>
      <c r="X19" s="1">
        <v>60.2</v>
      </c>
    </row>
    <row r="20" spans="1:24" s="8" customFormat="1" ht="33" x14ac:dyDescent="0.2">
      <c r="A20" s="33">
        <v>19</v>
      </c>
      <c r="B20" s="33" t="s">
        <v>866</v>
      </c>
      <c r="C20" s="32" t="s">
        <v>880</v>
      </c>
      <c r="D20" s="20" t="s">
        <v>427</v>
      </c>
      <c r="E20" s="20" t="s">
        <v>429</v>
      </c>
      <c r="F20" s="37" t="s">
        <v>431</v>
      </c>
      <c r="G20" s="37" t="s">
        <v>374</v>
      </c>
      <c r="H20" s="21" t="s">
        <v>236</v>
      </c>
      <c r="I20" s="60">
        <v>1</v>
      </c>
      <c r="J20" s="75">
        <v>6.4999999999999997E-3</v>
      </c>
      <c r="K20" s="63">
        <v>49.99</v>
      </c>
      <c r="L20" s="37" t="s">
        <v>435</v>
      </c>
      <c r="M20" s="65" t="s">
        <v>438</v>
      </c>
      <c r="N20" s="65" t="s">
        <v>440</v>
      </c>
      <c r="O20" s="17" t="s">
        <v>256</v>
      </c>
      <c r="P20" s="20" t="s">
        <v>277</v>
      </c>
      <c r="Q20" s="17">
        <v>0</v>
      </c>
      <c r="R20" s="17">
        <v>0</v>
      </c>
      <c r="S20" s="17">
        <v>0</v>
      </c>
      <c r="T20" s="37" t="s">
        <v>443</v>
      </c>
      <c r="U20" s="67">
        <v>0.9</v>
      </c>
      <c r="V20" s="60">
        <v>3</v>
      </c>
      <c r="W20" s="17">
        <v>10</v>
      </c>
      <c r="X20" s="17">
        <v>60.2</v>
      </c>
    </row>
    <row r="21" spans="1:24" s="8" customFormat="1" ht="33" x14ac:dyDescent="0.2">
      <c r="A21" s="4">
        <v>20</v>
      </c>
      <c r="B21" s="4" t="s">
        <v>867</v>
      </c>
      <c r="C21" s="2" t="s">
        <v>881</v>
      </c>
      <c r="D21" s="15" t="s">
        <v>427</v>
      </c>
      <c r="E21" s="15" t="s">
        <v>429</v>
      </c>
      <c r="F21" s="9" t="s">
        <v>431</v>
      </c>
      <c r="G21" s="9" t="s">
        <v>374</v>
      </c>
      <c r="H21" s="6" t="s">
        <v>236</v>
      </c>
      <c r="I21" s="61">
        <v>1</v>
      </c>
      <c r="J21" s="77">
        <v>6.4999999999999997E-3</v>
      </c>
      <c r="K21" s="62">
        <v>49.99</v>
      </c>
      <c r="L21" s="9" t="s">
        <v>435</v>
      </c>
      <c r="M21" s="64" t="s">
        <v>438</v>
      </c>
      <c r="N21" s="64" t="s">
        <v>440</v>
      </c>
      <c r="O21" s="1" t="s">
        <v>256</v>
      </c>
      <c r="P21" s="15" t="s">
        <v>277</v>
      </c>
      <c r="Q21" s="1">
        <v>0</v>
      </c>
      <c r="R21" s="1">
        <v>0</v>
      </c>
      <c r="S21" s="1">
        <v>0</v>
      </c>
      <c r="T21" s="9" t="s">
        <v>443</v>
      </c>
      <c r="U21" s="66">
        <v>0.9</v>
      </c>
      <c r="V21" s="61">
        <v>3</v>
      </c>
      <c r="W21" s="1">
        <v>10</v>
      </c>
      <c r="X21" s="1">
        <v>60.2</v>
      </c>
    </row>
    <row r="22" spans="1:24" s="8" customFormat="1" ht="33" x14ac:dyDescent="0.2">
      <c r="A22" s="33">
        <v>21</v>
      </c>
      <c r="B22" s="33" t="s">
        <v>868</v>
      </c>
      <c r="C22" s="32" t="s">
        <v>882</v>
      </c>
      <c r="D22" s="20" t="s">
        <v>427</v>
      </c>
      <c r="E22" s="20" t="s">
        <v>429</v>
      </c>
      <c r="F22" s="37" t="s">
        <v>431</v>
      </c>
      <c r="G22" s="37" t="s">
        <v>374</v>
      </c>
      <c r="H22" s="21" t="s">
        <v>236</v>
      </c>
      <c r="I22" s="60">
        <v>1</v>
      </c>
      <c r="J22" s="75">
        <v>6.4999999999999997E-3</v>
      </c>
      <c r="K22" s="63">
        <v>49.99</v>
      </c>
      <c r="L22" s="37" t="s">
        <v>435</v>
      </c>
      <c r="M22" s="65" t="s">
        <v>438</v>
      </c>
      <c r="N22" s="65" t="s">
        <v>440</v>
      </c>
      <c r="O22" s="17" t="s">
        <v>256</v>
      </c>
      <c r="P22" s="20" t="s">
        <v>277</v>
      </c>
      <c r="Q22" s="17">
        <v>0</v>
      </c>
      <c r="R22" s="17">
        <v>0</v>
      </c>
      <c r="S22" s="17">
        <v>0</v>
      </c>
      <c r="T22" s="37" t="s">
        <v>443</v>
      </c>
      <c r="U22" s="67">
        <v>0.9</v>
      </c>
      <c r="V22" s="60">
        <v>3</v>
      </c>
      <c r="W22" s="17">
        <v>10</v>
      </c>
      <c r="X22" s="17">
        <v>60.2</v>
      </c>
    </row>
    <row r="23" spans="1:24" s="8" customFormat="1" ht="33" x14ac:dyDescent="0.2">
      <c r="A23" s="4">
        <v>22</v>
      </c>
      <c r="B23" s="4" t="s">
        <v>869</v>
      </c>
      <c r="C23" s="2" t="s">
        <v>883</v>
      </c>
      <c r="D23" s="15" t="s">
        <v>427</v>
      </c>
      <c r="E23" s="15" t="s">
        <v>429</v>
      </c>
      <c r="F23" s="9" t="s">
        <v>431</v>
      </c>
      <c r="G23" s="9" t="s">
        <v>374</v>
      </c>
      <c r="H23" s="6" t="s">
        <v>236</v>
      </c>
      <c r="I23" s="61">
        <v>1</v>
      </c>
      <c r="J23" s="77">
        <v>6.4999999999999997E-3</v>
      </c>
      <c r="K23" s="62">
        <v>49.99</v>
      </c>
      <c r="L23" s="9" t="s">
        <v>435</v>
      </c>
      <c r="M23" s="64" t="s">
        <v>438</v>
      </c>
      <c r="N23" s="64" t="s">
        <v>440</v>
      </c>
      <c r="O23" s="1" t="s">
        <v>256</v>
      </c>
      <c r="P23" s="15" t="s">
        <v>277</v>
      </c>
      <c r="Q23" s="1">
        <v>0</v>
      </c>
      <c r="R23" s="1">
        <v>0</v>
      </c>
      <c r="S23" s="1">
        <v>0</v>
      </c>
      <c r="T23" s="9" t="s">
        <v>443</v>
      </c>
      <c r="U23" s="66">
        <v>0.9</v>
      </c>
      <c r="V23" s="61">
        <v>3</v>
      </c>
      <c r="W23" s="1">
        <v>10</v>
      </c>
      <c r="X23" s="1">
        <v>60.2</v>
      </c>
    </row>
    <row r="24" spans="1:24" s="8" customFormat="1" ht="33" x14ac:dyDescent="0.2">
      <c r="A24" s="33">
        <v>23</v>
      </c>
      <c r="B24" s="33" t="s">
        <v>870</v>
      </c>
      <c r="C24" s="32" t="s">
        <v>884</v>
      </c>
      <c r="D24" s="20" t="s">
        <v>427</v>
      </c>
      <c r="E24" s="20" t="s">
        <v>429</v>
      </c>
      <c r="F24" s="37" t="s">
        <v>431</v>
      </c>
      <c r="G24" s="37" t="s">
        <v>374</v>
      </c>
      <c r="H24" s="21" t="s">
        <v>236</v>
      </c>
      <c r="I24" s="60">
        <v>1</v>
      </c>
      <c r="J24" s="75">
        <v>6.4999999999999997E-3</v>
      </c>
      <c r="K24" s="63">
        <v>49.99</v>
      </c>
      <c r="L24" s="37" t="s">
        <v>435</v>
      </c>
      <c r="M24" s="65" t="s">
        <v>438</v>
      </c>
      <c r="N24" s="65" t="s">
        <v>440</v>
      </c>
      <c r="O24" s="17" t="s">
        <v>256</v>
      </c>
      <c r="P24" s="20" t="s">
        <v>277</v>
      </c>
      <c r="Q24" s="17">
        <v>0</v>
      </c>
      <c r="R24" s="17">
        <v>0</v>
      </c>
      <c r="S24" s="17">
        <v>0</v>
      </c>
      <c r="T24" s="37" t="s">
        <v>443</v>
      </c>
      <c r="U24" s="67">
        <v>0.9</v>
      </c>
      <c r="V24" s="60">
        <v>3</v>
      </c>
      <c r="W24" s="17">
        <v>10</v>
      </c>
      <c r="X24" s="17">
        <v>60.2</v>
      </c>
    </row>
    <row r="25" spans="1:24" s="8" customFormat="1" ht="33" x14ac:dyDescent="0.2">
      <c r="A25" s="4">
        <v>24</v>
      </c>
      <c r="B25" s="4" t="s">
        <v>871</v>
      </c>
      <c r="C25" s="2" t="s">
        <v>885</v>
      </c>
      <c r="D25" s="15" t="s">
        <v>427</v>
      </c>
      <c r="E25" s="15" t="s">
        <v>429</v>
      </c>
      <c r="F25" s="9" t="s">
        <v>431</v>
      </c>
      <c r="G25" s="9" t="s">
        <v>374</v>
      </c>
      <c r="H25" s="6" t="s">
        <v>236</v>
      </c>
      <c r="I25" s="61">
        <v>1</v>
      </c>
      <c r="J25" s="77">
        <v>6.4999999999999997E-3</v>
      </c>
      <c r="K25" s="62">
        <v>49.99</v>
      </c>
      <c r="L25" s="9" t="s">
        <v>435</v>
      </c>
      <c r="M25" s="64" t="s">
        <v>438</v>
      </c>
      <c r="N25" s="64" t="s">
        <v>440</v>
      </c>
      <c r="O25" s="1" t="s">
        <v>256</v>
      </c>
      <c r="P25" s="15" t="s">
        <v>277</v>
      </c>
      <c r="Q25" s="1">
        <v>0</v>
      </c>
      <c r="R25" s="1">
        <v>0</v>
      </c>
      <c r="S25" s="1">
        <v>0</v>
      </c>
      <c r="T25" s="9" t="s">
        <v>443</v>
      </c>
      <c r="U25" s="66">
        <v>0.9</v>
      </c>
      <c r="V25" s="61">
        <v>3</v>
      </c>
      <c r="W25" s="1">
        <v>10</v>
      </c>
      <c r="X25" s="1">
        <v>60.2</v>
      </c>
    </row>
    <row r="26" spans="1:24" s="8" customFormat="1" ht="33" x14ac:dyDescent="0.2">
      <c r="A26" s="33">
        <v>25</v>
      </c>
      <c r="B26" s="33" t="s">
        <v>872</v>
      </c>
      <c r="C26" s="32" t="s">
        <v>886</v>
      </c>
      <c r="D26" s="20" t="s">
        <v>427</v>
      </c>
      <c r="E26" s="20" t="s">
        <v>445</v>
      </c>
      <c r="F26" s="37" t="s">
        <v>446</v>
      </c>
      <c r="G26" s="37" t="s">
        <v>374</v>
      </c>
      <c r="H26" s="21" t="s">
        <v>236</v>
      </c>
      <c r="I26" s="60">
        <v>1</v>
      </c>
      <c r="J26" s="75">
        <v>5.1000000000000004E-3</v>
      </c>
      <c r="K26" s="63">
        <v>49.99</v>
      </c>
      <c r="L26" s="37" t="s">
        <v>447</v>
      </c>
      <c r="M26" s="65" t="s">
        <v>449</v>
      </c>
      <c r="N26" s="65" t="s">
        <v>450</v>
      </c>
      <c r="O26" s="17" t="s">
        <v>256</v>
      </c>
      <c r="P26" s="20" t="s">
        <v>277</v>
      </c>
      <c r="Q26" s="17">
        <v>0</v>
      </c>
      <c r="R26" s="17">
        <v>0</v>
      </c>
      <c r="S26" s="17">
        <v>0</v>
      </c>
      <c r="T26" s="37" t="s">
        <v>451</v>
      </c>
      <c r="U26" s="67">
        <v>0.9</v>
      </c>
      <c r="V26" s="60">
        <v>3</v>
      </c>
      <c r="W26" s="17">
        <v>10</v>
      </c>
      <c r="X26" s="17" t="s">
        <v>327</v>
      </c>
    </row>
    <row r="27" spans="1:24" s="8" customFormat="1" ht="33" x14ac:dyDescent="0.2">
      <c r="A27" s="4">
        <v>26</v>
      </c>
      <c r="B27" s="4" t="s">
        <v>873</v>
      </c>
      <c r="C27" s="2" t="s">
        <v>887</v>
      </c>
      <c r="D27" s="15" t="s">
        <v>427</v>
      </c>
      <c r="E27" s="15" t="s">
        <v>445</v>
      </c>
      <c r="F27" s="9" t="s">
        <v>446</v>
      </c>
      <c r="G27" s="9" t="s">
        <v>374</v>
      </c>
      <c r="H27" s="6" t="s">
        <v>236</v>
      </c>
      <c r="I27" s="61">
        <v>1</v>
      </c>
      <c r="J27" s="77">
        <v>5.1000000000000004E-3</v>
      </c>
      <c r="K27" s="62">
        <v>49.99</v>
      </c>
      <c r="L27" s="9" t="s">
        <v>447</v>
      </c>
      <c r="M27" s="64" t="s">
        <v>449</v>
      </c>
      <c r="N27" s="64" t="s">
        <v>450</v>
      </c>
      <c r="O27" s="1" t="s">
        <v>256</v>
      </c>
      <c r="P27" s="15" t="s">
        <v>277</v>
      </c>
      <c r="Q27" s="1">
        <v>0</v>
      </c>
      <c r="R27" s="1">
        <v>0</v>
      </c>
      <c r="S27" s="1">
        <v>0</v>
      </c>
      <c r="T27" s="9" t="s">
        <v>451</v>
      </c>
      <c r="U27" s="66">
        <v>0.9</v>
      </c>
      <c r="V27" s="61">
        <v>3</v>
      </c>
      <c r="W27" s="1">
        <v>10</v>
      </c>
      <c r="X27" s="1" t="s">
        <v>327</v>
      </c>
    </row>
    <row r="28" spans="1:24" s="8" customFormat="1" ht="33" x14ac:dyDescent="0.2">
      <c r="A28" s="33">
        <v>27</v>
      </c>
      <c r="B28" s="33" t="s">
        <v>874</v>
      </c>
      <c r="C28" s="32" t="s">
        <v>888</v>
      </c>
      <c r="D28" s="20" t="s">
        <v>427</v>
      </c>
      <c r="E28" s="20" t="s">
        <v>445</v>
      </c>
      <c r="F28" s="37" t="s">
        <v>446</v>
      </c>
      <c r="G28" s="37" t="s">
        <v>374</v>
      </c>
      <c r="H28" s="21" t="s">
        <v>236</v>
      </c>
      <c r="I28" s="60">
        <v>1</v>
      </c>
      <c r="J28" s="75">
        <v>5.1000000000000004E-3</v>
      </c>
      <c r="K28" s="63">
        <v>49.99</v>
      </c>
      <c r="L28" s="37" t="s">
        <v>447</v>
      </c>
      <c r="M28" s="65" t="s">
        <v>449</v>
      </c>
      <c r="N28" s="65" t="s">
        <v>450</v>
      </c>
      <c r="O28" s="17" t="s">
        <v>256</v>
      </c>
      <c r="P28" s="20" t="s">
        <v>277</v>
      </c>
      <c r="Q28" s="17">
        <v>0</v>
      </c>
      <c r="R28" s="17">
        <v>0</v>
      </c>
      <c r="S28" s="17">
        <v>0</v>
      </c>
      <c r="T28" s="37" t="s">
        <v>451</v>
      </c>
      <c r="U28" s="67">
        <v>0.9</v>
      </c>
      <c r="V28" s="60">
        <v>3</v>
      </c>
      <c r="W28" s="17">
        <v>10</v>
      </c>
      <c r="X28" s="17" t="s">
        <v>327</v>
      </c>
    </row>
    <row r="29" spans="1:24" s="8" customFormat="1" ht="33" x14ac:dyDescent="0.2">
      <c r="A29" s="4">
        <v>28</v>
      </c>
      <c r="B29" s="4" t="s">
        <v>875</v>
      </c>
      <c r="C29" s="2" t="s">
        <v>889</v>
      </c>
      <c r="D29" s="15" t="s">
        <v>427</v>
      </c>
      <c r="E29" s="15" t="s">
        <v>445</v>
      </c>
      <c r="F29" s="9" t="s">
        <v>446</v>
      </c>
      <c r="G29" s="9" t="s">
        <v>374</v>
      </c>
      <c r="H29" s="6" t="s">
        <v>236</v>
      </c>
      <c r="I29" s="61">
        <v>1</v>
      </c>
      <c r="J29" s="77">
        <v>5.1000000000000004E-3</v>
      </c>
      <c r="K29" s="62">
        <v>49.99</v>
      </c>
      <c r="L29" s="9" t="s">
        <v>447</v>
      </c>
      <c r="M29" s="64" t="s">
        <v>449</v>
      </c>
      <c r="N29" s="64" t="s">
        <v>450</v>
      </c>
      <c r="O29" s="1" t="s">
        <v>256</v>
      </c>
      <c r="P29" s="15" t="s">
        <v>277</v>
      </c>
      <c r="Q29" s="1">
        <v>0</v>
      </c>
      <c r="R29" s="1">
        <v>0</v>
      </c>
      <c r="S29" s="1">
        <v>0</v>
      </c>
      <c r="T29" s="9" t="s">
        <v>451</v>
      </c>
      <c r="U29" s="66">
        <v>0.9</v>
      </c>
      <c r="V29" s="61">
        <v>3</v>
      </c>
      <c r="W29" s="1">
        <v>10</v>
      </c>
      <c r="X29" s="1" t="s">
        <v>327</v>
      </c>
    </row>
    <row r="30" spans="1:24" s="8" customFormat="1" ht="33" x14ac:dyDescent="0.2">
      <c r="A30" s="33">
        <v>29</v>
      </c>
      <c r="B30" s="33" t="s">
        <v>876</v>
      </c>
      <c r="C30" s="32" t="s">
        <v>890</v>
      </c>
      <c r="D30" s="20" t="s">
        <v>427</v>
      </c>
      <c r="E30" s="20" t="s">
        <v>445</v>
      </c>
      <c r="F30" s="37" t="s">
        <v>446</v>
      </c>
      <c r="G30" s="37" t="s">
        <v>374</v>
      </c>
      <c r="H30" s="21" t="s">
        <v>236</v>
      </c>
      <c r="I30" s="60">
        <v>1</v>
      </c>
      <c r="J30" s="75">
        <v>5.1000000000000004E-3</v>
      </c>
      <c r="K30" s="63">
        <v>49.99</v>
      </c>
      <c r="L30" s="37" t="s">
        <v>447</v>
      </c>
      <c r="M30" s="65" t="s">
        <v>449</v>
      </c>
      <c r="N30" s="65" t="s">
        <v>450</v>
      </c>
      <c r="O30" s="17" t="s">
        <v>256</v>
      </c>
      <c r="P30" s="20" t="s">
        <v>277</v>
      </c>
      <c r="Q30" s="17">
        <v>0</v>
      </c>
      <c r="R30" s="17">
        <v>0</v>
      </c>
      <c r="S30" s="17">
        <v>0</v>
      </c>
      <c r="T30" s="37" t="s">
        <v>451</v>
      </c>
      <c r="U30" s="67">
        <v>0.9</v>
      </c>
      <c r="V30" s="60">
        <v>3</v>
      </c>
      <c r="W30" s="17">
        <v>10</v>
      </c>
      <c r="X30" s="17" t="s">
        <v>327</v>
      </c>
    </row>
    <row r="31" spans="1:24" s="8" customFormat="1" ht="33" x14ac:dyDescent="0.2">
      <c r="A31" s="4">
        <v>30</v>
      </c>
      <c r="B31" s="4" t="s">
        <v>877</v>
      </c>
      <c r="C31" s="2" t="s">
        <v>891</v>
      </c>
      <c r="D31" s="15" t="s">
        <v>427</v>
      </c>
      <c r="E31" s="15" t="s">
        <v>445</v>
      </c>
      <c r="F31" s="9" t="s">
        <v>446</v>
      </c>
      <c r="G31" s="9" t="s">
        <v>374</v>
      </c>
      <c r="H31" s="6" t="s">
        <v>236</v>
      </c>
      <c r="I31" s="61">
        <v>1</v>
      </c>
      <c r="J31" s="77">
        <v>5.1000000000000004E-3</v>
      </c>
      <c r="K31" s="62">
        <v>49.99</v>
      </c>
      <c r="L31" s="9" t="s">
        <v>447</v>
      </c>
      <c r="M31" s="64" t="s">
        <v>449</v>
      </c>
      <c r="N31" s="64" t="s">
        <v>450</v>
      </c>
      <c r="O31" s="1" t="s">
        <v>256</v>
      </c>
      <c r="P31" s="15" t="s">
        <v>277</v>
      </c>
      <c r="Q31" s="1">
        <v>0</v>
      </c>
      <c r="R31" s="1">
        <v>0</v>
      </c>
      <c r="S31" s="1">
        <v>0</v>
      </c>
      <c r="T31" s="9" t="s">
        <v>451</v>
      </c>
      <c r="U31" s="66">
        <v>0.9</v>
      </c>
      <c r="V31" s="61">
        <v>3</v>
      </c>
      <c r="W31" s="1">
        <v>10</v>
      </c>
      <c r="X31" s="1" t="s">
        <v>327</v>
      </c>
    </row>
    <row r="32" spans="1:24" s="8" customFormat="1" ht="33" x14ac:dyDescent="0.2">
      <c r="A32" s="33">
        <v>31</v>
      </c>
      <c r="B32" s="33" t="s">
        <v>878</v>
      </c>
      <c r="C32" s="32" t="s">
        <v>892</v>
      </c>
      <c r="D32" s="20" t="s">
        <v>427</v>
      </c>
      <c r="E32" s="20" t="s">
        <v>445</v>
      </c>
      <c r="F32" s="37" t="s">
        <v>446</v>
      </c>
      <c r="G32" s="37" t="s">
        <v>374</v>
      </c>
      <c r="H32" s="21" t="s">
        <v>236</v>
      </c>
      <c r="I32" s="60">
        <v>1</v>
      </c>
      <c r="J32" s="75">
        <v>5.1000000000000004E-3</v>
      </c>
      <c r="K32" s="63">
        <v>49.99</v>
      </c>
      <c r="L32" s="37" t="s">
        <v>447</v>
      </c>
      <c r="M32" s="65" t="s">
        <v>449</v>
      </c>
      <c r="N32" s="65" t="s">
        <v>450</v>
      </c>
      <c r="O32" s="17" t="s">
        <v>256</v>
      </c>
      <c r="P32" s="20" t="s">
        <v>277</v>
      </c>
      <c r="Q32" s="17">
        <v>0</v>
      </c>
      <c r="R32" s="17">
        <v>0</v>
      </c>
      <c r="S32" s="17">
        <v>0</v>
      </c>
      <c r="T32" s="37" t="s">
        <v>451</v>
      </c>
      <c r="U32" s="67">
        <v>0.9</v>
      </c>
      <c r="V32" s="60">
        <v>3</v>
      </c>
      <c r="W32" s="17">
        <v>10</v>
      </c>
      <c r="X32" s="17" t="s">
        <v>327</v>
      </c>
    </row>
    <row r="33" spans="1:52" s="5" customFormat="1" ht="16.5" x14ac:dyDescent="0.2">
      <c r="A33" s="4">
        <v>32</v>
      </c>
      <c r="B33" s="4" t="s">
        <v>278</v>
      </c>
      <c r="C33" s="2" t="s">
        <v>153</v>
      </c>
      <c r="D33" s="15" t="s">
        <v>428</v>
      </c>
      <c r="E33" s="15" t="s">
        <v>430</v>
      </c>
      <c r="F33" s="9" t="s">
        <v>432</v>
      </c>
      <c r="G33" s="9" t="s">
        <v>375</v>
      </c>
      <c r="H33" s="6" t="s">
        <v>237</v>
      </c>
      <c r="I33" s="61">
        <v>1</v>
      </c>
      <c r="J33" s="77">
        <v>6.4999999999999997E-3</v>
      </c>
      <c r="K33" s="62">
        <v>49.99</v>
      </c>
      <c r="L33" s="9" t="s">
        <v>436</v>
      </c>
      <c r="M33" s="64" t="s">
        <v>439</v>
      </c>
      <c r="N33" s="64" t="s">
        <v>441</v>
      </c>
      <c r="O33" s="1" t="s">
        <v>257</v>
      </c>
      <c r="P33" s="15" t="s">
        <v>442</v>
      </c>
      <c r="Q33" s="1">
        <v>0</v>
      </c>
      <c r="R33" s="1">
        <v>0</v>
      </c>
      <c r="S33" s="1">
        <v>0</v>
      </c>
      <c r="T33" s="9" t="s">
        <v>444</v>
      </c>
      <c r="U33" s="66">
        <v>0.9</v>
      </c>
      <c r="V33" s="61">
        <v>3</v>
      </c>
      <c r="W33" s="1">
        <v>10</v>
      </c>
      <c r="X33" s="1">
        <v>60.2</v>
      </c>
    </row>
    <row r="34" spans="1:52" s="81" customFormat="1" ht="16.5" x14ac:dyDescent="0.2">
      <c r="A34" s="33">
        <v>33</v>
      </c>
      <c r="B34" s="33" t="s">
        <v>279</v>
      </c>
      <c r="C34" s="34" t="s">
        <v>152</v>
      </c>
      <c r="D34" s="20" t="s">
        <v>427</v>
      </c>
      <c r="E34" s="20" t="s">
        <v>429</v>
      </c>
      <c r="F34" s="37" t="s">
        <v>431</v>
      </c>
      <c r="G34" s="37" t="s">
        <v>374</v>
      </c>
      <c r="H34" s="21" t="s">
        <v>236</v>
      </c>
      <c r="I34" s="60">
        <v>1</v>
      </c>
      <c r="J34" s="75">
        <v>6.4999999999999997E-3</v>
      </c>
      <c r="K34" s="63">
        <v>49.99</v>
      </c>
      <c r="L34" s="37" t="s">
        <v>435</v>
      </c>
      <c r="M34" s="65" t="s">
        <v>438</v>
      </c>
      <c r="N34" s="65" t="s">
        <v>440</v>
      </c>
      <c r="O34" s="17" t="s">
        <v>256</v>
      </c>
      <c r="P34" s="20" t="s">
        <v>277</v>
      </c>
      <c r="Q34" s="17">
        <v>0</v>
      </c>
      <c r="R34" s="17">
        <v>0</v>
      </c>
      <c r="S34" s="17">
        <v>0</v>
      </c>
      <c r="T34" s="37" t="s">
        <v>443</v>
      </c>
      <c r="U34" s="67">
        <v>0.9</v>
      </c>
      <c r="V34" s="60">
        <v>3</v>
      </c>
      <c r="W34" s="17">
        <v>10</v>
      </c>
      <c r="X34" s="17">
        <v>60.2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 spans="1:52" ht="16.5" x14ac:dyDescent="0.2">
      <c r="A35" s="4">
        <v>34</v>
      </c>
      <c r="B35" s="4" t="s">
        <v>280</v>
      </c>
      <c r="C35" s="3" t="s">
        <v>151</v>
      </c>
      <c r="D35" s="15" t="s">
        <v>427</v>
      </c>
      <c r="E35" s="15" t="s">
        <v>429</v>
      </c>
      <c r="F35" s="9" t="s">
        <v>431</v>
      </c>
      <c r="G35" s="9" t="s">
        <v>374</v>
      </c>
      <c r="H35" s="6" t="s">
        <v>236</v>
      </c>
      <c r="I35" s="61">
        <v>1</v>
      </c>
      <c r="J35" s="77">
        <v>6.4999999999999997E-3</v>
      </c>
      <c r="K35" s="62">
        <v>49.99</v>
      </c>
      <c r="L35" s="9" t="s">
        <v>435</v>
      </c>
      <c r="M35" s="64" t="s">
        <v>438</v>
      </c>
      <c r="N35" s="64" t="s">
        <v>440</v>
      </c>
      <c r="O35" s="1" t="s">
        <v>256</v>
      </c>
      <c r="P35" s="15" t="s">
        <v>277</v>
      </c>
      <c r="Q35" s="1">
        <v>0</v>
      </c>
      <c r="R35" s="1">
        <v>0</v>
      </c>
      <c r="S35" s="1">
        <v>0</v>
      </c>
      <c r="T35" s="9" t="s">
        <v>443</v>
      </c>
      <c r="U35" s="66">
        <v>0.9</v>
      </c>
      <c r="V35" s="61">
        <v>3</v>
      </c>
      <c r="W35" s="1">
        <v>10</v>
      </c>
      <c r="X35" s="1">
        <v>60.2</v>
      </c>
    </row>
    <row r="36" spans="1:52" ht="16.5" x14ac:dyDescent="0.2">
      <c r="A36" s="33">
        <v>35</v>
      </c>
      <c r="B36" s="33" t="s">
        <v>281</v>
      </c>
      <c r="C36" s="34" t="s">
        <v>150</v>
      </c>
      <c r="D36" s="20" t="s">
        <v>427</v>
      </c>
      <c r="E36" s="20" t="s">
        <v>429</v>
      </c>
      <c r="F36" s="37" t="s">
        <v>431</v>
      </c>
      <c r="G36" s="37" t="s">
        <v>374</v>
      </c>
      <c r="H36" s="21" t="s">
        <v>236</v>
      </c>
      <c r="I36" s="60">
        <v>1</v>
      </c>
      <c r="J36" s="75">
        <v>6.4999999999999997E-3</v>
      </c>
      <c r="K36" s="63">
        <v>49.99</v>
      </c>
      <c r="L36" s="37" t="s">
        <v>435</v>
      </c>
      <c r="M36" s="65" t="s">
        <v>438</v>
      </c>
      <c r="N36" s="65" t="s">
        <v>440</v>
      </c>
      <c r="O36" s="17" t="s">
        <v>256</v>
      </c>
      <c r="P36" s="20" t="s">
        <v>277</v>
      </c>
      <c r="Q36" s="17">
        <v>0</v>
      </c>
      <c r="R36" s="17">
        <v>0</v>
      </c>
      <c r="S36" s="17">
        <v>0</v>
      </c>
      <c r="T36" s="37" t="s">
        <v>443</v>
      </c>
      <c r="U36" s="67">
        <v>0.9</v>
      </c>
      <c r="V36" s="60">
        <v>3</v>
      </c>
      <c r="W36" s="17">
        <v>10</v>
      </c>
      <c r="X36" s="17">
        <v>60.2</v>
      </c>
    </row>
    <row r="37" spans="1:52" s="81" customFormat="1" ht="16.5" x14ac:dyDescent="0.2">
      <c r="A37" s="4">
        <v>36</v>
      </c>
      <c r="B37" s="4" t="s">
        <v>407</v>
      </c>
      <c r="C37" s="3" t="s">
        <v>149</v>
      </c>
      <c r="D37" s="15" t="s">
        <v>427</v>
      </c>
      <c r="E37" s="15" t="s">
        <v>429</v>
      </c>
      <c r="F37" s="9" t="s">
        <v>431</v>
      </c>
      <c r="G37" s="9" t="s">
        <v>374</v>
      </c>
      <c r="H37" s="6" t="s">
        <v>236</v>
      </c>
      <c r="I37" s="61">
        <v>1</v>
      </c>
      <c r="J37" s="77">
        <v>6.4999999999999997E-3</v>
      </c>
      <c r="K37" s="62">
        <v>49.99</v>
      </c>
      <c r="L37" s="9" t="s">
        <v>435</v>
      </c>
      <c r="M37" s="64" t="s">
        <v>438</v>
      </c>
      <c r="N37" s="64" t="s">
        <v>440</v>
      </c>
      <c r="O37" s="1" t="s">
        <v>256</v>
      </c>
      <c r="P37" s="15" t="s">
        <v>277</v>
      </c>
      <c r="Q37" s="1">
        <v>0</v>
      </c>
      <c r="R37" s="1">
        <v>0</v>
      </c>
      <c r="S37" s="1">
        <v>0</v>
      </c>
      <c r="T37" s="9" t="s">
        <v>443</v>
      </c>
      <c r="U37" s="66">
        <v>0.9</v>
      </c>
      <c r="V37" s="61">
        <v>3</v>
      </c>
      <c r="W37" s="1">
        <v>10</v>
      </c>
      <c r="X37" s="1">
        <v>60.2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 spans="1:52" s="81" customFormat="1" ht="16.5" x14ac:dyDescent="0.2">
      <c r="A38" s="33">
        <v>37</v>
      </c>
      <c r="B38" s="33" t="s">
        <v>282</v>
      </c>
      <c r="C38" s="34" t="s">
        <v>148</v>
      </c>
      <c r="D38" s="20" t="s">
        <v>427</v>
      </c>
      <c r="E38" s="20" t="s">
        <v>429</v>
      </c>
      <c r="F38" s="37" t="s">
        <v>431</v>
      </c>
      <c r="G38" s="37" t="s">
        <v>374</v>
      </c>
      <c r="H38" s="21" t="s">
        <v>236</v>
      </c>
      <c r="I38" s="60">
        <v>1</v>
      </c>
      <c r="J38" s="75">
        <v>6.4999999999999997E-3</v>
      </c>
      <c r="K38" s="63">
        <v>49.99</v>
      </c>
      <c r="L38" s="37" t="s">
        <v>435</v>
      </c>
      <c r="M38" s="65" t="s">
        <v>438</v>
      </c>
      <c r="N38" s="65" t="s">
        <v>440</v>
      </c>
      <c r="O38" s="17" t="s">
        <v>256</v>
      </c>
      <c r="P38" s="20" t="s">
        <v>277</v>
      </c>
      <c r="Q38" s="17">
        <v>0</v>
      </c>
      <c r="R38" s="17">
        <v>0</v>
      </c>
      <c r="S38" s="17">
        <v>0</v>
      </c>
      <c r="T38" s="37" t="s">
        <v>443</v>
      </c>
      <c r="U38" s="67">
        <v>0.9</v>
      </c>
      <c r="V38" s="60">
        <v>3</v>
      </c>
      <c r="W38" s="17">
        <v>10</v>
      </c>
      <c r="X38" s="17">
        <v>60.2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1:52" ht="16.5" x14ac:dyDescent="0.2">
      <c r="A39" s="4">
        <v>38</v>
      </c>
      <c r="B39" s="4" t="s">
        <v>410</v>
      </c>
      <c r="C39" s="3" t="s">
        <v>412</v>
      </c>
      <c r="D39" s="15" t="s">
        <v>427</v>
      </c>
      <c r="E39" s="15" t="s">
        <v>429</v>
      </c>
      <c r="F39" s="9" t="s">
        <v>431</v>
      </c>
      <c r="G39" s="9" t="s">
        <v>374</v>
      </c>
      <c r="H39" s="6" t="s">
        <v>236</v>
      </c>
      <c r="I39" s="61">
        <v>1</v>
      </c>
      <c r="J39" s="77">
        <v>6.4999999999999997E-3</v>
      </c>
      <c r="K39" s="62">
        <v>49.99</v>
      </c>
      <c r="L39" s="9" t="s">
        <v>435</v>
      </c>
      <c r="M39" s="64" t="s">
        <v>438</v>
      </c>
      <c r="N39" s="64" t="s">
        <v>440</v>
      </c>
      <c r="O39" s="1" t="s">
        <v>256</v>
      </c>
      <c r="P39" s="15" t="s">
        <v>277</v>
      </c>
      <c r="Q39" s="1">
        <v>0</v>
      </c>
      <c r="R39" s="1">
        <v>0</v>
      </c>
      <c r="S39" s="1">
        <v>0</v>
      </c>
      <c r="T39" s="9" t="s">
        <v>443</v>
      </c>
      <c r="U39" s="66">
        <v>0.9</v>
      </c>
      <c r="V39" s="61">
        <v>3</v>
      </c>
      <c r="W39" s="1">
        <v>10</v>
      </c>
      <c r="X39" s="1">
        <v>60.2</v>
      </c>
    </row>
    <row r="40" spans="1:52" ht="16.5" x14ac:dyDescent="0.2">
      <c r="A40" s="33">
        <v>39</v>
      </c>
      <c r="B40" s="33" t="s">
        <v>283</v>
      </c>
      <c r="C40" s="34" t="s">
        <v>146</v>
      </c>
      <c r="D40" s="20" t="s">
        <v>427</v>
      </c>
      <c r="E40" s="20" t="s">
        <v>429</v>
      </c>
      <c r="F40" s="37" t="s">
        <v>431</v>
      </c>
      <c r="G40" s="37" t="s">
        <v>374</v>
      </c>
      <c r="H40" s="21" t="s">
        <v>236</v>
      </c>
      <c r="I40" s="60">
        <v>1</v>
      </c>
      <c r="J40" s="75">
        <v>6.4999999999999997E-3</v>
      </c>
      <c r="K40" s="63">
        <v>49.99</v>
      </c>
      <c r="L40" s="37" t="s">
        <v>435</v>
      </c>
      <c r="M40" s="65" t="s">
        <v>438</v>
      </c>
      <c r="N40" s="65" t="s">
        <v>440</v>
      </c>
      <c r="O40" s="17" t="s">
        <v>256</v>
      </c>
      <c r="P40" s="20" t="s">
        <v>277</v>
      </c>
      <c r="Q40" s="17">
        <v>0</v>
      </c>
      <c r="R40" s="17">
        <v>0</v>
      </c>
      <c r="S40" s="17">
        <v>0</v>
      </c>
      <c r="T40" s="37" t="s">
        <v>443</v>
      </c>
      <c r="U40" s="67">
        <v>0.9</v>
      </c>
      <c r="V40" s="60">
        <v>3</v>
      </c>
      <c r="W40" s="17">
        <v>10</v>
      </c>
      <c r="X40" s="17">
        <v>60.2</v>
      </c>
    </row>
    <row r="41" spans="1:52" s="81" customFormat="1" ht="16.5" x14ac:dyDescent="0.2">
      <c r="A41" s="4">
        <v>40</v>
      </c>
      <c r="B41" s="4" t="s">
        <v>414</v>
      </c>
      <c r="C41" s="3" t="s">
        <v>145</v>
      </c>
      <c r="D41" s="15" t="s">
        <v>427</v>
      </c>
      <c r="E41" s="15" t="s">
        <v>429</v>
      </c>
      <c r="F41" s="9" t="s">
        <v>431</v>
      </c>
      <c r="G41" s="9" t="s">
        <v>374</v>
      </c>
      <c r="H41" s="6" t="s">
        <v>236</v>
      </c>
      <c r="I41" s="61">
        <v>1</v>
      </c>
      <c r="J41" s="77">
        <v>6.4999999999999997E-3</v>
      </c>
      <c r="K41" s="62">
        <v>49.99</v>
      </c>
      <c r="L41" s="9" t="s">
        <v>435</v>
      </c>
      <c r="M41" s="64" t="s">
        <v>438</v>
      </c>
      <c r="N41" s="64" t="s">
        <v>440</v>
      </c>
      <c r="O41" s="1" t="s">
        <v>256</v>
      </c>
      <c r="P41" s="15" t="s">
        <v>277</v>
      </c>
      <c r="Q41" s="1">
        <v>0</v>
      </c>
      <c r="R41" s="1">
        <v>0</v>
      </c>
      <c r="S41" s="1">
        <v>0</v>
      </c>
      <c r="T41" s="9" t="s">
        <v>443</v>
      </c>
      <c r="U41" s="66">
        <v>0.9</v>
      </c>
      <c r="V41" s="61">
        <v>3</v>
      </c>
      <c r="W41" s="1">
        <v>10</v>
      </c>
      <c r="X41" s="1">
        <v>60.2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 spans="1:52" s="81" customFormat="1" ht="16.5" x14ac:dyDescent="0.2">
      <c r="A42" s="33">
        <v>41</v>
      </c>
      <c r="B42" s="33" t="s">
        <v>284</v>
      </c>
      <c r="C42" s="34" t="s">
        <v>144</v>
      </c>
      <c r="D42" s="20" t="s">
        <v>427</v>
      </c>
      <c r="E42" s="20" t="s">
        <v>429</v>
      </c>
      <c r="F42" s="37" t="s">
        <v>431</v>
      </c>
      <c r="G42" s="37" t="s">
        <v>374</v>
      </c>
      <c r="H42" s="21" t="s">
        <v>236</v>
      </c>
      <c r="I42" s="60">
        <v>1</v>
      </c>
      <c r="J42" s="75">
        <v>6.4999999999999997E-3</v>
      </c>
      <c r="K42" s="63">
        <v>49.99</v>
      </c>
      <c r="L42" s="37" t="s">
        <v>435</v>
      </c>
      <c r="M42" s="65" t="s">
        <v>438</v>
      </c>
      <c r="N42" s="65" t="s">
        <v>440</v>
      </c>
      <c r="O42" s="17" t="s">
        <v>256</v>
      </c>
      <c r="P42" s="20" t="s">
        <v>277</v>
      </c>
      <c r="Q42" s="17">
        <v>0</v>
      </c>
      <c r="R42" s="17">
        <v>0</v>
      </c>
      <c r="S42" s="17">
        <v>0</v>
      </c>
      <c r="T42" s="37" t="s">
        <v>443</v>
      </c>
      <c r="U42" s="67">
        <v>0.9</v>
      </c>
      <c r="V42" s="60">
        <v>3</v>
      </c>
      <c r="W42" s="17">
        <v>10</v>
      </c>
      <c r="X42" s="17">
        <v>60.2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</row>
    <row r="43" spans="1:52" ht="16.5" x14ac:dyDescent="0.2">
      <c r="A43" s="4">
        <v>42</v>
      </c>
      <c r="B43" s="4" t="s">
        <v>285</v>
      </c>
      <c r="C43" s="3" t="s">
        <v>143</v>
      </c>
      <c r="D43" s="15" t="s">
        <v>427</v>
      </c>
      <c r="E43" s="15" t="s">
        <v>429</v>
      </c>
      <c r="F43" s="9" t="s">
        <v>431</v>
      </c>
      <c r="G43" s="9" t="s">
        <v>374</v>
      </c>
      <c r="H43" s="6" t="s">
        <v>236</v>
      </c>
      <c r="I43" s="61">
        <v>1</v>
      </c>
      <c r="J43" s="77">
        <v>6.4999999999999997E-3</v>
      </c>
      <c r="K43" s="62">
        <v>49.99</v>
      </c>
      <c r="L43" s="9" t="s">
        <v>435</v>
      </c>
      <c r="M43" s="64" t="s">
        <v>438</v>
      </c>
      <c r="N43" s="64" t="s">
        <v>440</v>
      </c>
      <c r="O43" s="1" t="s">
        <v>256</v>
      </c>
      <c r="P43" s="15" t="s">
        <v>277</v>
      </c>
      <c r="Q43" s="1">
        <v>0</v>
      </c>
      <c r="R43" s="1">
        <v>0</v>
      </c>
      <c r="S43" s="1">
        <v>0</v>
      </c>
      <c r="T43" s="9" t="s">
        <v>443</v>
      </c>
      <c r="U43" s="66">
        <v>0.9</v>
      </c>
      <c r="V43" s="61">
        <v>3</v>
      </c>
      <c r="W43" s="1">
        <v>10</v>
      </c>
      <c r="X43" s="1">
        <v>60.2</v>
      </c>
    </row>
    <row r="44" spans="1:52" ht="16.5" x14ac:dyDescent="0.2">
      <c r="A44" s="33">
        <v>43</v>
      </c>
      <c r="B44" s="33" t="s">
        <v>286</v>
      </c>
      <c r="C44" s="34" t="s">
        <v>142</v>
      </c>
      <c r="D44" s="20" t="s">
        <v>427</v>
      </c>
      <c r="E44" s="20" t="s">
        <v>429</v>
      </c>
      <c r="F44" s="37" t="s">
        <v>431</v>
      </c>
      <c r="G44" s="37" t="s">
        <v>374</v>
      </c>
      <c r="H44" s="21" t="s">
        <v>236</v>
      </c>
      <c r="I44" s="60">
        <v>1</v>
      </c>
      <c r="J44" s="75">
        <v>6.4999999999999997E-3</v>
      </c>
      <c r="K44" s="63">
        <v>49.99</v>
      </c>
      <c r="L44" s="37" t="s">
        <v>435</v>
      </c>
      <c r="M44" s="65" t="s">
        <v>438</v>
      </c>
      <c r="N44" s="65" t="s">
        <v>440</v>
      </c>
      <c r="O44" s="17" t="s">
        <v>256</v>
      </c>
      <c r="P44" s="20" t="s">
        <v>277</v>
      </c>
      <c r="Q44" s="17">
        <v>0</v>
      </c>
      <c r="R44" s="17">
        <v>0</v>
      </c>
      <c r="S44" s="17">
        <v>0</v>
      </c>
      <c r="T44" s="37" t="s">
        <v>443</v>
      </c>
      <c r="U44" s="67">
        <v>0.9</v>
      </c>
      <c r="V44" s="60">
        <v>3</v>
      </c>
      <c r="W44" s="17">
        <v>10</v>
      </c>
      <c r="X44" s="17">
        <v>60.2</v>
      </c>
    </row>
    <row r="45" spans="1:52" s="81" customFormat="1" ht="16.5" x14ac:dyDescent="0.2">
      <c r="A45" s="4">
        <v>44</v>
      </c>
      <c r="B45" s="4" t="s">
        <v>287</v>
      </c>
      <c r="C45" s="3" t="s">
        <v>95</v>
      </c>
      <c r="D45" s="15" t="s">
        <v>427</v>
      </c>
      <c r="E45" s="15" t="s">
        <v>429</v>
      </c>
      <c r="F45" s="9" t="s">
        <v>431</v>
      </c>
      <c r="G45" s="9" t="s">
        <v>374</v>
      </c>
      <c r="H45" s="6" t="s">
        <v>236</v>
      </c>
      <c r="I45" s="61">
        <v>1</v>
      </c>
      <c r="J45" s="77">
        <v>6.4999999999999997E-3</v>
      </c>
      <c r="K45" s="62">
        <v>49.99</v>
      </c>
      <c r="L45" s="9" t="s">
        <v>435</v>
      </c>
      <c r="M45" s="64" t="s">
        <v>438</v>
      </c>
      <c r="N45" s="64" t="s">
        <v>440</v>
      </c>
      <c r="O45" s="1" t="s">
        <v>256</v>
      </c>
      <c r="P45" s="15" t="s">
        <v>277</v>
      </c>
      <c r="Q45" s="1">
        <v>0</v>
      </c>
      <c r="R45" s="1">
        <v>0</v>
      </c>
      <c r="S45" s="1">
        <v>0</v>
      </c>
      <c r="T45" s="9" t="s">
        <v>443</v>
      </c>
      <c r="U45" s="66">
        <v>0.9</v>
      </c>
      <c r="V45" s="61">
        <v>3</v>
      </c>
      <c r="W45" s="1">
        <v>10</v>
      </c>
      <c r="X45" s="1">
        <v>60.2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</row>
    <row r="46" spans="1:52" s="81" customFormat="1" ht="16.5" x14ac:dyDescent="0.2">
      <c r="A46" s="33">
        <v>45</v>
      </c>
      <c r="B46" s="33" t="s">
        <v>288</v>
      </c>
      <c r="C46" s="34" t="s">
        <v>141</v>
      </c>
      <c r="D46" s="20" t="s">
        <v>427</v>
      </c>
      <c r="E46" s="20" t="s">
        <v>445</v>
      </c>
      <c r="F46" s="37" t="s">
        <v>446</v>
      </c>
      <c r="G46" s="37" t="s">
        <v>374</v>
      </c>
      <c r="H46" s="21" t="s">
        <v>236</v>
      </c>
      <c r="I46" s="60">
        <v>1</v>
      </c>
      <c r="J46" s="75">
        <v>5.1000000000000004E-3</v>
      </c>
      <c r="K46" s="63">
        <v>49.99</v>
      </c>
      <c r="L46" s="37" t="s">
        <v>447</v>
      </c>
      <c r="M46" s="65" t="s">
        <v>449</v>
      </c>
      <c r="N46" s="65" t="s">
        <v>450</v>
      </c>
      <c r="O46" s="17" t="s">
        <v>256</v>
      </c>
      <c r="P46" s="20" t="s">
        <v>277</v>
      </c>
      <c r="Q46" s="17">
        <v>0</v>
      </c>
      <c r="R46" s="17">
        <v>0</v>
      </c>
      <c r="S46" s="17">
        <v>0</v>
      </c>
      <c r="T46" s="37" t="s">
        <v>451</v>
      </c>
      <c r="U46" s="67">
        <v>0.9</v>
      </c>
      <c r="V46" s="60">
        <v>3</v>
      </c>
      <c r="W46" s="17">
        <v>10</v>
      </c>
      <c r="X46" s="17" t="s">
        <v>327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 spans="1:52" ht="16.5" x14ac:dyDescent="0.2">
      <c r="A47" s="4">
        <v>46</v>
      </c>
      <c r="B47" s="4" t="s">
        <v>289</v>
      </c>
      <c r="C47" s="3" t="s">
        <v>139</v>
      </c>
      <c r="D47" s="15" t="s">
        <v>427</v>
      </c>
      <c r="E47" s="15" t="s">
        <v>445</v>
      </c>
      <c r="F47" s="9" t="s">
        <v>446</v>
      </c>
      <c r="G47" s="9" t="s">
        <v>374</v>
      </c>
      <c r="H47" s="6" t="s">
        <v>236</v>
      </c>
      <c r="I47" s="61">
        <v>1</v>
      </c>
      <c r="J47" s="77">
        <v>5.1000000000000004E-3</v>
      </c>
      <c r="K47" s="62">
        <v>49.99</v>
      </c>
      <c r="L47" s="9" t="s">
        <v>447</v>
      </c>
      <c r="M47" s="64" t="s">
        <v>449</v>
      </c>
      <c r="N47" s="64" t="s">
        <v>450</v>
      </c>
      <c r="O47" s="1" t="s">
        <v>256</v>
      </c>
      <c r="P47" s="15" t="s">
        <v>277</v>
      </c>
      <c r="Q47" s="1">
        <v>0</v>
      </c>
      <c r="R47" s="1">
        <v>0</v>
      </c>
      <c r="S47" s="1">
        <v>0</v>
      </c>
      <c r="T47" s="9" t="s">
        <v>451</v>
      </c>
      <c r="U47" s="66">
        <v>0.9</v>
      </c>
      <c r="V47" s="61">
        <v>3</v>
      </c>
      <c r="W47" s="1">
        <v>10</v>
      </c>
      <c r="X47" s="1" t="s">
        <v>327</v>
      </c>
    </row>
    <row r="48" spans="1:52" ht="16.5" x14ac:dyDescent="0.2">
      <c r="A48" s="33">
        <v>47</v>
      </c>
      <c r="B48" s="33" t="s">
        <v>290</v>
      </c>
      <c r="C48" s="34" t="s">
        <v>98</v>
      </c>
      <c r="D48" s="20" t="s">
        <v>427</v>
      </c>
      <c r="E48" s="20" t="s">
        <v>445</v>
      </c>
      <c r="F48" s="37" t="s">
        <v>446</v>
      </c>
      <c r="G48" s="37" t="s">
        <v>374</v>
      </c>
      <c r="H48" s="21" t="s">
        <v>236</v>
      </c>
      <c r="I48" s="60">
        <v>1</v>
      </c>
      <c r="J48" s="75">
        <v>5.1000000000000004E-3</v>
      </c>
      <c r="K48" s="63">
        <v>49.99</v>
      </c>
      <c r="L48" s="37" t="s">
        <v>447</v>
      </c>
      <c r="M48" s="65" t="s">
        <v>449</v>
      </c>
      <c r="N48" s="65" t="s">
        <v>450</v>
      </c>
      <c r="O48" s="17" t="s">
        <v>256</v>
      </c>
      <c r="P48" s="20" t="s">
        <v>277</v>
      </c>
      <c r="Q48" s="17">
        <v>0</v>
      </c>
      <c r="R48" s="17">
        <v>0</v>
      </c>
      <c r="S48" s="17">
        <v>0</v>
      </c>
      <c r="T48" s="37" t="s">
        <v>451</v>
      </c>
      <c r="U48" s="67">
        <v>0.9</v>
      </c>
      <c r="V48" s="60">
        <v>3</v>
      </c>
      <c r="W48" s="17">
        <v>10</v>
      </c>
      <c r="X48" s="17" t="s">
        <v>327</v>
      </c>
    </row>
    <row r="49" spans="1:52" s="81" customFormat="1" ht="16.5" x14ac:dyDescent="0.2">
      <c r="A49" s="4">
        <v>48</v>
      </c>
      <c r="B49" s="4" t="s">
        <v>291</v>
      </c>
      <c r="C49" s="3" t="s">
        <v>100</v>
      </c>
      <c r="D49" s="15" t="s">
        <v>427</v>
      </c>
      <c r="E49" s="15" t="s">
        <v>445</v>
      </c>
      <c r="F49" s="9" t="s">
        <v>446</v>
      </c>
      <c r="G49" s="9" t="s">
        <v>374</v>
      </c>
      <c r="H49" s="6" t="s">
        <v>236</v>
      </c>
      <c r="I49" s="61">
        <v>1</v>
      </c>
      <c r="J49" s="77">
        <v>5.1000000000000004E-3</v>
      </c>
      <c r="K49" s="62">
        <v>49.99</v>
      </c>
      <c r="L49" s="9" t="s">
        <v>447</v>
      </c>
      <c r="M49" s="64" t="s">
        <v>449</v>
      </c>
      <c r="N49" s="64" t="s">
        <v>450</v>
      </c>
      <c r="O49" s="1" t="s">
        <v>256</v>
      </c>
      <c r="P49" s="15" t="s">
        <v>277</v>
      </c>
      <c r="Q49" s="1">
        <v>0</v>
      </c>
      <c r="R49" s="1">
        <v>0</v>
      </c>
      <c r="S49" s="1">
        <v>0</v>
      </c>
      <c r="T49" s="9" t="s">
        <v>451</v>
      </c>
      <c r="U49" s="66">
        <v>0.9</v>
      </c>
      <c r="V49" s="61">
        <v>3</v>
      </c>
      <c r="W49" s="1">
        <v>10</v>
      </c>
      <c r="X49" s="1" t="s">
        <v>327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 spans="1:52" s="81" customFormat="1" ht="16.5" x14ac:dyDescent="0.2">
      <c r="A50" s="33">
        <v>49</v>
      </c>
      <c r="B50" s="33" t="s">
        <v>292</v>
      </c>
      <c r="C50" s="34" t="s">
        <v>102</v>
      </c>
      <c r="D50" s="20" t="s">
        <v>427</v>
      </c>
      <c r="E50" s="20" t="s">
        <v>445</v>
      </c>
      <c r="F50" s="37" t="s">
        <v>446</v>
      </c>
      <c r="G50" s="37" t="s">
        <v>374</v>
      </c>
      <c r="H50" s="21" t="s">
        <v>236</v>
      </c>
      <c r="I50" s="60">
        <v>1</v>
      </c>
      <c r="J50" s="75">
        <v>5.1000000000000004E-3</v>
      </c>
      <c r="K50" s="63">
        <v>49.99</v>
      </c>
      <c r="L50" s="37" t="s">
        <v>447</v>
      </c>
      <c r="M50" s="65" t="s">
        <v>449</v>
      </c>
      <c r="N50" s="65" t="s">
        <v>450</v>
      </c>
      <c r="O50" s="17" t="s">
        <v>256</v>
      </c>
      <c r="P50" s="20" t="s">
        <v>277</v>
      </c>
      <c r="Q50" s="17">
        <v>0</v>
      </c>
      <c r="R50" s="17">
        <v>0</v>
      </c>
      <c r="S50" s="17">
        <v>0</v>
      </c>
      <c r="T50" s="37" t="s">
        <v>451</v>
      </c>
      <c r="U50" s="67">
        <v>0.9</v>
      </c>
      <c r="V50" s="60">
        <v>3</v>
      </c>
      <c r="W50" s="17">
        <v>10</v>
      </c>
      <c r="X50" s="17" t="s">
        <v>327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 spans="1:52" ht="16.5" x14ac:dyDescent="0.2">
      <c r="A51" s="4">
        <v>50</v>
      </c>
      <c r="B51" s="4" t="s">
        <v>293</v>
      </c>
      <c r="C51" s="3" t="s">
        <v>104</v>
      </c>
      <c r="D51" s="15" t="s">
        <v>427</v>
      </c>
      <c r="E51" s="15" t="s">
        <v>445</v>
      </c>
      <c r="F51" s="9" t="s">
        <v>446</v>
      </c>
      <c r="G51" s="9" t="s">
        <v>374</v>
      </c>
      <c r="H51" s="6" t="s">
        <v>236</v>
      </c>
      <c r="I51" s="61">
        <v>1</v>
      </c>
      <c r="J51" s="77">
        <v>5.1000000000000004E-3</v>
      </c>
      <c r="K51" s="62">
        <v>49.99</v>
      </c>
      <c r="L51" s="9" t="s">
        <v>447</v>
      </c>
      <c r="M51" s="64" t="s">
        <v>449</v>
      </c>
      <c r="N51" s="64" t="s">
        <v>450</v>
      </c>
      <c r="O51" s="1" t="s">
        <v>256</v>
      </c>
      <c r="P51" s="15" t="s">
        <v>277</v>
      </c>
      <c r="Q51" s="1">
        <v>0</v>
      </c>
      <c r="R51" s="1">
        <v>0</v>
      </c>
      <c r="S51" s="1">
        <v>0</v>
      </c>
      <c r="T51" s="9" t="s">
        <v>451</v>
      </c>
      <c r="U51" s="66">
        <v>0.9</v>
      </c>
      <c r="V51" s="61">
        <v>3</v>
      </c>
      <c r="W51" s="1">
        <v>10</v>
      </c>
      <c r="X51" s="1" t="s">
        <v>327</v>
      </c>
    </row>
    <row r="52" spans="1:52" ht="16.5" x14ac:dyDescent="0.2">
      <c r="A52" s="33">
        <v>51</v>
      </c>
      <c r="B52" s="33" t="s">
        <v>294</v>
      </c>
      <c r="C52" s="34" t="s">
        <v>106</v>
      </c>
      <c r="D52" s="20" t="s">
        <v>427</v>
      </c>
      <c r="E52" s="20" t="s">
        <v>445</v>
      </c>
      <c r="F52" s="37" t="s">
        <v>446</v>
      </c>
      <c r="G52" s="37" t="s">
        <v>374</v>
      </c>
      <c r="H52" s="21" t="s">
        <v>236</v>
      </c>
      <c r="I52" s="60">
        <v>1</v>
      </c>
      <c r="J52" s="75">
        <v>5.1000000000000004E-3</v>
      </c>
      <c r="K52" s="63">
        <v>49.99</v>
      </c>
      <c r="L52" s="37" t="s">
        <v>447</v>
      </c>
      <c r="M52" s="65" t="s">
        <v>449</v>
      </c>
      <c r="N52" s="65" t="s">
        <v>450</v>
      </c>
      <c r="O52" s="17" t="s">
        <v>256</v>
      </c>
      <c r="P52" s="20" t="s">
        <v>277</v>
      </c>
      <c r="Q52" s="17">
        <v>0</v>
      </c>
      <c r="R52" s="17">
        <v>0</v>
      </c>
      <c r="S52" s="17">
        <v>0</v>
      </c>
      <c r="T52" s="37" t="s">
        <v>451</v>
      </c>
      <c r="U52" s="67">
        <v>0.9</v>
      </c>
      <c r="V52" s="60">
        <v>3</v>
      </c>
      <c r="W52" s="17">
        <v>10</v>
      </c>
      <c r="X52" s="17" t="s">
        <v>327</v>
      </c>
    </row>
    <row r="53" spans="1:52" s="81" customFormat="1" ht="16.5" x14ac:dyDescent="0.2">
      <c r="A53" s="4">
        <v>52</v>
      </c>
      <c r="B53" s="4" t="s">
        <v>295</v>
      </c>
      <c r="C53" s="3" t="s">
        <v>108</v>
      </c>
      <c r="D53" s="15" t="s">
        <v>427</v>
      </c>
      <c r="E53" s="15" t="s">
        <v>445</v>
      </c>
      <c r="F53" s="9" t="s">
        <v>446</v>
      </c>
      <c r="G53" s="9" t="s">
        <v>374</v>
      </c>
      <c r="H53" s="6" t="s">
        <v>236</v>
      </c>
      <c r="I53" s="61">
        <v>1</v>
      </c>
      <c r="J53" s="77">
        <v>5.1000000000000004E-3</v>
      </c>
      <c r="K53" s="62">
        <v>49.99</v>
      </c>
      <c r="L53" s="9" t="s">
        <v>447</v>
      </c>
      <c r="M53" s="64" t="s">
        <v>449</v>
      </c>
      <c r="N53" s="64" t="s">
        <v>450</v>
      </c>
      <c r="O53" s="1" t="s">
        <v>256</v>
      </c>
      <c r="P53" s="15" t="s">
        <v>277</v>
      </c>
      <c r="Q53" s="1">
        <v>0</v>
      </c>
      <c r="R53" s="1">
        <v>0</v>
      </c>
      <c r="S53" s="1">
        <v>0</v>
      </c>
      <c r="T53" s="9" t="s">
        <v>451</v>
      </c>
      <c r="U53" s="66">
        <v>0.9</v>
      </c>
      <c r="V53" s="61">
        <v>3</v>
      </c>
      <c r="W53" s="1">
        <v>10</v>
      </c>
      <c r="X53" s="1" t="s">
        <v>327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 spans="1:52" ht="16.5" x14ac:dyDescent="0.2">
      <c r="A54" s="33">
        <v>53</v>
      </c>
      <c r="B54" s="33" t="s">
        <v>296</v>
      </c>
      <c r="C54" s="34" t="s">
        <v>110</v>
      </c>
      <c r="D54" s="20" t="s">
        <v>427</v>
      </c>
      <c r="E54" s="20" t="s">
        <v>445</v>
      </c>
      <c r="F54" s="37" t="s">
        <v>446</v>
      </c>
      <c r="G54" s="37" t="s">
        <v>374</v>
      </c>
      <c r="H54" s="21" t="s">
        <v>236</v>
      </c>
      <c r="I54" s="60">
        <v>1</v>
      </c>
      <c r="J54" s="75">
        <v>5.1000000000000004E-3</v>
      </c>
      <c r="K54" s="63">
        <v>49.99</v>
      </c>
      <c r="L54" s="37" t="s">
        <v>447</v>
      </c>
      <c r="M54" s="65" t="s">
        <v>449</v>
      </c>
      <c r="N54" s="65" t="s">
        <v>450</v>
      </c>
      <c r="O54" s="17" t="s">
        <v>256</v>
      </c>
      <c r="P54" s="20" t="s">
        <v>277</v>
      </c>
      <c r="Q54" s="17">
        <v>0</v>
      </c>
      <c r="R54" s="17">
        <v>0</v>
      </c>
      <c r="S54" s="17">
        <v>0</v>
      </c>
      <c r="T54" s="37" t="s">
        <v>451</v>
      </c>
      <c r="U54" s="67">
        <v>0.9</v>
      </c>
      <c r="V54" s="60">
        <v>3</v>
      </c>
      <c r="W54" s="17">
        <v>10</v>
      </c>
      <c r="X54" s="17" t="s">
        <v>327</v>
      </c>
    </row>
    <row r="55" spans="1:52" s="81" customFormat="1" ht="16.5" x14ac:dyDescent="0.2">
      <c r="A55" s="4">
        <v>54</v>
      </c>
      <c r="B55" s="4" t="s">
        <v>297</v>
      </c>
      <c r="C55" s="3" t="s">
        <v>112</v>
      </c>
      <c r="D55" s="15" t="s">
        <v>427</v>
      </c>
      <c r="E55" s="15" t="s">
        <v>445</v>
      </c>
      <c r="F55" s="9" t="s">
        <v>446</v>
      </c>
      <c r="G55" s="9" t="s">
        <v>374</v>
      </c>
      <c r="H55" s="6" t="s">
        <v>236</v>
      </c>
      <c r="I55" s="61">
        <v>1</v>
      </c>
      <c r="J55" s="77">
        <v>5.1000000000000004E-3</v>
      </c>
      <c r="K55" s="62">
        <v>49.99</v>
      </c>
      <c r="L55" s="9" t="s">
        <v>447</v>
      </c>
      <c r="M55" s="64" t="s">
        <v>449</v>
      </c>
      <c r="N55" s="64" t="s">
        <v>450</v>
      </c>
      <c r="O55" s="1" t="s">
        <v>256</v>
      </c>
      <c r="P55" s="15" t="s">
        <v>277</v>
      </c>
      <c r="Q55" s="1">
        <v>0</v>
      </c>
      <c r="R55" s="1">
        <v>0</v>
      </c>
      <c r="S55" s="1">
        <v>0</v>
      </c>
      <c r="T55" s="9" t="s">
        <v>451</v>
      </c>
      <c r="U55" s="66">
        <v>0.9</v>
      </c>
      <c r="V55" s="61">
        <v>3</v>
      </c>
      <c r="W55" s="1">
        <v>10</v>
      </c>
      <c r="X55" s="1" t="s">
        <v>327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</row>
    <row r="56" spans="1:52" ht="16.5" x14ac:dyDescent="0.2">
      <c r="A56" s="33">
        <v>55</v>
      </c>
      <c r="B56" s="33" t="s">
        <v>298</v>
      </c>
      <c r="C56" s="34" t="s">
        <v>114</v>
      </c>
      <c r="D56" s="20" t="s">
        <v>427</v>
      </c>
      <c r="E56" s="20" t="s">
        <v>445</v>
      </c>
      <c r="F56" s="37" t="s">
        <v>446</v>
      </c>
      <c r="G56" s="37" t="s">
        <v>374</v>
      </c>
      <c r="H56" s="21" t="s">
        <v>236</v>
      </c>
      <c r="I56" s="60">
        <v>1</v>
      </c>
      <c r="J56" s="75">
        <v>5.1000000000000004E-3</v>
      </c>
      <c r="K56" s="63">
        <v>49.99</v>
      </c>
      <c r="L56" s="37" t="s">
        <v>447</v>
      </c>
      <c r="M56" s="65" t="s">
        <v>449</v>
      </c>
      <c r="N56" s="65" t="s">
        <v>450</v>
      </c>
      <c r="O56" s="17" t="s">
        <v>256</v>
      </c>
      <c r="P56" s="20" t="s">
        <v>277</v>
      </c>
      <c r="Q56" s="17">
        <v>0</v>
      </c>
      <c r="R56" s="17">
        <v>0</v>
      </c>
      <c r="S56" s="17">
        <v>0</v>
      </c>
      <c r="T56" s="37" t="s">
        <v>451</v>
      </c>
      <c r="U56" s="67">
        <v>0.9</v>
      </c>
      <c r="V56" s="60">
        <v>3</v>
      </c>
      <c r="W56" s="17">
        <v>10</v>
      </c>
      <c r="X56" s="17" t="s">
        <v>327</v>
      </c>
    </row>
    <row r="57" spans="1:52" s="81" customFormat="1" ht="16.5" x14ac:dyDescent="0.2">
      <c r="A57" s="4">
        <v>56</v>
      </c>
      <c r="B57" s="4" t="s">
        <v>299</v>
      </c>
      <c r="C57" s="3" t="s">
        <v>116</v>
      </c>
      <c r="D57" s="15" t="s">
        <v>427</v>
      </c>
      <c r="E57" s="15" t="s">
        <v>445</v>
      </c>
      <c r="F57" s="9" t="s">
        <v>446</v>
      </c>
      <c r="G57" s="9" t="s">
        <v>374</v>
      </c>
      <c r="H57" s="6" t="s">
        <v>236</v>
      </c>
      <c r="I57" s="61">
        <v>1</v>
      </c>
      <c r="J57" s="77">
        <v>5.1000000000000004E-3</v>
      </c>
      <c r="K57" s="62">
        <v>49.99</v>
      </c>
      <c r="L57" s="9" t="s">
        <v>447</v>
      </c>
      <c r="M57" s="64" t="s">
        <v>449</v>
      </c>
      <c r="N57" s="64" t="s">
        <v>450</v>
      </c>
      <c r="O57" s="1" t="s">
        <v>256</v>
      </c>
      <c r="P57" s="15" t="s">
        <v>277</v>
      </c>
      <c r="Q57" s="1">
        <v>0</v>
      </c>
      <c r="R57" s="1">
        <v>0</v>
      </c>
      <c r="S57" s="1">
        <v>0</v>
      </c>
      <c r="T57" s="9" t="s">
        <v>451</v>
      </c>
      <c r="U57" s="66">
        <v>0.9</v>
      </c>
      <c r="V57" s="61">
        <v>3</v>
      </c>
      <c r="W57" s="1">
        <v>10</v>
      </c>
      <c r="X57" s="1" t="s">
        <v>327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</row>
    <row r="58" spans="1:52" ht="16.5" x14ac:dyDescent="0.2">
      <c r="A58" s="33">
        <v>57</v>
      </c>
      <c r="B58" s="33" t="s">
        <v>300</v>
      </c>
      <c r="C58" s="34" t="s">
        <v>118</v>
      </c>
      <c r="D58" s="20" t="s">
        <v>427</v>
      </c>
      <c r="E58" s="20" t="s">
        <v>445</v>
      </c>
      <c r="F58" s="37" t="s">
        <v>446</v>
      </c>
      <c r="G58" s="37" t="s">
        <v>374</v>
      </c>
      <c r="H58" s="21" t="s">
        <v>236</v>
      </c>
      <c r="I58" s="60">
        <v>1</v>
      </c>
      <c r="J58" s="75">
        <v>5.1000000000000004E-3</v>
      </c>
      <c r="K58" s="63">
        <v>49.99</v>
      </c>
      <c r="L58" s="37" t="s">
        <v>447</v>
      </c>
      <c r="M58" s="65" t="s">
        <v>449</v>
      </c>
      <c r="N58" s="65" t="s">
        <v>450</v>
      </c>
      <c r="O58" s="17" t="s">
        <v>256</v>
      </c>
      <c r="P58" s="20" t="s">
        <v>277</v>
      </c>
      <c r="Q58" s="17">
        <v>0</v>
      </c>
      <c r="R58" s="17">
        <v>0</v>
      </c>
      <c r="S58" s="17">
        <v>0</v>
      </c>
      <c r="T58" s="37" t="s">
        <v>451</v>
      </c>
      <c r="U58" s="67">
        <v>0.9</v>
      </c>
      <c r="V58" s="60">
        <v>3</v>
      </c>
      <c r="W58" s="17">
        <v>10</v>
      </c>
      <c r="X58" s="17" t="s">
        <v>327</v>
      </c>
    </row>
    <row r="59" spans="1:52" s="81" customFormat="1" ht="16.5" x14ac:dyDescent="0.2">
      <c r="A59" s="4">
        <v>58</v>
      </c>
      <c r="B59" s="4" t="s">
        <v>301</v>
      </c>
      <c r="C59" s="3" t="s">
        <v>120</v>
      </c>
      <c r="D59" s="15" t="s">
        <v>427</v>
      </c>
      <c r="E59" s="15" t="s">
        <v>445</v>
      </c>
      <c r="F59" s="9" t="s">
        <v>446</v>
      </c>
      <c r="G59" s="9" t="s">
        <v>374</v>
      </c>
      <c r="H59" s="6" t="s">
        <v>236</v>
      </c>
      <c r="I59" s="61">
        <v>1</v>
      </c>
      <c r="J59" s="77">
        <v>5.1000000000000004E-3</v>
      </c>
      <c r="K59" s="62">
        <v>49.99</v>
      </c>
      <c r="L59" s="9" t="s">
        <v>447</v>
      </c>
      <c r="M59" s="64" t="s">
        <v>449</v>
      </c>
      <c r="N59" s="64" t="s">
        <v>450</v>
      </c>
      <c r="O59" s="1" t="s">
        <v>256</v>
      </c>
      <c r="P59" s="15" t="s">
        <v>277</v>
      </c>
      <c r="Q59" s="1">
        <v>0</v>
      </c>
      <c r="R59" s="1">
        <v>0</v>
      </c>
      <c r="S59" s="1">
        <v>0</v>
      </c>
      <c r="T59" s="9" t="s">
        <v>451</v>
      </c>
      <c r="U59" s="66">
        <v>0.9</v>
      </c>
      <c r="V59" s="61">
        <v>3</v>
      </c>
      <c r="W59" s="1">
        <v>10</v>
      </c>
      <c r="X59" s="1" t="s">
        <v>327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 spans="1:52" ht="16.5" x14ac:dyDescent="0.2">
      <c r="A60" s="33">
        <v>59</v>
      </c>
      <c r="B60" s="33" t="s">
        <v>302</v>
      </c>
      <c r="C60" s="34" t="s">
        <v>122</v>
      </c>
      <c r="D60" s="20" t="s">
        <v>427</v>
      </c>
      <c r="E60" s="20" t="s">
        <v>445</v>
      </c>
      <c r="F60" s="37" t="s">
        <v>446</v>
      </c>
      <c r="G60" s="37" t="s">
        <v>374</v>
      </c>
      <c r="H60" s="21" t="s">
        <v>236</v>
      </c>
      <c r="I60" s="60">
        <v>1</v>
      </c>
      <c r="J60" s="75">
        <v>5.1000000000000004E-3</v>
      </c>
      <c r="K60" s="63">
        <v>49.99</v>
      </c>
      <c r="L60" s="37" t="s">
        <v>447</v>
      </c>
      <c r="M60" s="65" t="s">
        <v>449</v>
      </c>
      <c r="N60" s="65" t="s">
        <v>450</v>
      </c>
      <c r="O60" s="17" t="s">
        <v>256</v>
      </c>
      <c r="P60" s="20" t="s">
        <v>277</v>
      </c>
      <c r="Q60" s="17">
        <v>0</v>
      </c>
      <c r="R60" s="17">
        <v>0</v>
      </c>
      <c r="S60" s="17">
        <v>0</v>
      </c>
      <c r="T60" s="37" t="s">
        <v>451</v>
      </c>
      <c r="U60" s="67">
        <v>0.9</v>
      </c>
      <c r="V60" s="60">
        <v>3</v>
      </c>
      <c r="W60" s="17">
        <v>10</v>
      </c>
      <c r="X60" s="17" t="s">
        <v>327</v>
      </c>
    </row>
    <row r="61" spans="1:52" s="5" customFormat="1" ht="16.5" x14ac:dyDescent="0.2">
      <c r="A61" s="4">
        <v>60</v>
      </c>
      <c r="B61" s="4" t="s">
        <v>403</v>
      </c>
      <c r="C61" s="2" t="s">
        <v>404</v>
      </c>
      <c r="D61" s="15" t="s">
        <v>428</v>
      </c>
      <c r="E61" s="15" t="s">
        <v>430</v>
      </c>
      <c r="F61" s="9" t="s">
        <v>433</v>
      </c>
      <c r="G61" s="9" t="s">
        <v>375</v>
      </c>
      <c r="H61" s="6" t="s">
        <v>237</v>
      </c>
      <c r="I61" s="61">
        <v>1</v>
      </c>
      <c r="J61" s="77">
        <v>6.4999999999999997E-3</v>
      </c>
      <c r="K61" s="62">
        <v>49.99</v>
      </c>
      <c r="L61" s="9" t="s">
        <v>437</v>
      </c>
      <c r="M61" s="64" t="s">
        <v>439</v>
      </c>
      <c r="N61" s="64" t="s">
        <v>441</v>
      </c>
      <c r="O61" s="1" t="s">
        <v>257</v>
      </c>
      <c r="P61" s="15" t="s">
        <v>442</v>
      </c>
      <c r="Q61" s="1">
        <v>0</v>
      </c>
      <c r="R61" s="1">
        <v>0</v>
      </c>
      <c r="S61" s="1">
        <v>0</v>
      </c>
      <c r="T61" s="9" t="s">
        <v>444</v>
      </c>
      <c r="U61" s="66">
        <v>0.9</v>
      </c>
      <c r="V61" s="61">
        <v>3</v>
      </c>
      <c r="W61" s="1">
        <v>10</v>
      </c>
      <c r="X61" s="1">
        <v>60.2</v>
      </c>
    </row>
    <row r="62" spans="1:52" ht="16.5" x14ac:dyDescent="0.2">
      <c r="A62" s="33">
        <v>61</v>
      </c>
      <c r="B62" s="33" t="s">
        <v>405</v>
      </c>
      <c r="C62" s="34" t="s">
        <v>406</v>
      </c>
      <c r="D62" s="20" t="s">
        <v>427</v>
      </c>
      <c r="E62" s="20" t="s">
        <v>429</v>
      </c>
      <c r="F62" s="37" t="s">
        <v>431</v>
      </c>
      <c r="G62" s="37" t="s">
        <v>374</v>
      </c>
      <c r="H62" s="21" t="s">
        <v>236</v>
      </c>
      <c r="I62" s="60">
        <v>1</v>
      </c>
      <c r="J62" s="75">
        <v>6.4999999999999997E-3</v>
      </c>
      <c r="K62" s="63">
        <v>49.99</v>
      </c>
      <c r="L62" s="37" t="s">
        <v>435</v>
      </c>
      <c r="M62" s="65" t="s">
        <v>438</v>
      </c>
      <c r="N62" s="65" t="s">
        <v>440</v>
      </c>
      <c r="O62" s="17" t="s">
        <v>256</v>
      </c>
      <c r="P62" s="20" t="s">
        <v>277</v>
      </c>
      <c r="Q62" s="17">
        <v>0</v>
      </c>
      <c r="R62" s="17">
        <v>0</v>
      </c>
      <c r="S62" s="17">
        <v>0</v>
      </c>
      <c r="T62" s="37" t="s">
        <v>443</v>
      </c>
      <c r="U62" s="67">
        <v>0.9</v>
      </c>
      <c r="V62" s="60">
        <v>3</v>
      </c>
      <c r="W62" s="17">
        <v>10</v>
      </c>
      <c r="X62" s="17">
        <v>60.2</v>
      </c>
    </row>
    <row r="63" spans="1:52" ht="16.5" x14ac:dyDescent="0.2">
      <c r="A63" s="4">
        <v>62</v>
      </c>
      <c r="B63" s="4" t="s">
        <v>408</v>
      </c>
      <c r="C63" s="3" t="s">
        <v>409</v>
      </c>
      <c r="D63" s="15" t="s">
        <v>427</v>
      </c>
      <c r="E63" s="15" t="s">
        <v>429</v>
      </c>
      <c r="F63" s="9" t="s">
        <v>431</v>
      </c>
      <c r="G63" s="9" t="s">
        <v>374</v>
      </c>
      <c r="H63" s="6" t="s">
        <v>236</v>
      </c>
      <c r="I63" s="61">
        <v>1</v>
      </c>
      <c r="J63" s="77">
        <v>6.4999999999999997E-3</v>
      </c>
      <c r="K63" s="62">
        <v>49.99</v>
      </c>
      <c r="L63" s="9" t="s">
        <v>435</v>
      </c>
      <c r="M63" s="64" t="s">
        <v>438</v>
      </c>
      <c r="N63" s="64" t="s">
        <v>440</v>
      </c>
      <c r="O63" s="1" t="s">
        <v>256</v>
      </c>
      <c r="P63" s="15" t="s">
        <v>277</v>
      </c>
      <c r="Q63" s="1">
        <v>0</v>
      </c>
      <c r="R63" s="1">
        <v>0</v>
      </c>
      <c r="S63" s="1">
        <v>0</v>
      </c>
      <c r="T63" s="9" t="s">
        <v>443</v>
      </c>
      <c r="U63" s="66">
        <v>0.9</v>
      </c>
      <c r="V63" s="61">
        <v>3</v>
      </c>
      <c r="W63" s="1">
        <v>10</v>
      </c>
      <c r="X63" s="1">
        <v>60.2</v>
      </c>
    </row>
    <row r="64" spans="1:52" s="81" customFormat="1" ht="16.5" x14ac:dyDescent="0.2">
      <c r="A64" s="33">
        <v>63</v>
      </c>
      <c r="B64" s="33" t="s">
        <v>411</v>
      </c>
      <c r="C64" s="34" t="s">
        <v>413</v>
      </c>
      <c r="D64" s="20" t="s">
        <v>427</v>
      </c>
      <c r="E64" s="20" t="s">
        <v>429</v>
      </c>
      <c r="F64" s="37" t="s">
        <v>431</v>
      </c>
      <c r="G64" s="37" t="s">
        <v>374</v>
      </c>
      <c r="H64" s="21" t="s">
        <v>236</v>
      </c>
      <c r="I64" s="60">
        <v>1</v>
      </c>
      <c r="J64" s="75">
        <v>6.4999999999999997E-3</v>
      </c>
      <c r="K64" s="63">
        <v>49.99</v>
      </c>
      <c r="L64" s="37" t="s">
        <v>435</v>
      </c>
      <c r="M64" s="65" t="s">
        <v>438</v>
      </c>
      <c r="N64" s="65" t="s">
        <v>440</v>
      </c>
      <c r="O64" s="17" t="s">
        <v>256</v>
      </c>
      <c r="P64" s="20" t="s">
        <v>277</v>
      </c>
      <c r="Q64" s="17">
        <v>0</v>
      </c>
      <c r="R64" s="17">
        <v>0</v>
      </c>
      <c r="S64" s="17">
        <v>0</v>
      </c>
      <c r="T64" s="37" t="s">
        <v>443</v>
      </c>
      <c r="U64" s="67">
        <v>0.9</v>
      </c>
      <c r="V64" s="60">
        <v>3</v>
      </c>
      <c r="W64" s="17">
        <v>10</v>
      </c>
      <c r="X64" s="17">
        <v>60.2</v>
      </c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</row>
    <row r="65" spans="1:52" ht="16.5" x14ac:dyDescent="0.2">
      <c r="A65" s="4">
        <v>64</v>
      </c>
      <c r="B65" s="4" t="s">
        <v>415</v>
      </c>
      <c r="C65" s="3" t="s">
        <v>416</v>
      </c>
      <c r="D65" s="15" t="s">
        <v>427</v>
      </c>
      <c r="E65" s="15" t="s">
        <v>429</v>
      </c>
      <c r="F65" s="9" t="s">
        <v>431</v>
      </c>
      <c r="G65" s="9" t="s">
        <v>374</v>
      </c>
      <c r="H65" s="6" t="s">
        <v>236</v>
      </c>
      <c r="I65" s="61">
        <v>1</v>
      </c>
      <c r="J65" s="77">
        <v>6.4999999999999997E-3</v>
      </c>
      <c r="K65" s="62">
        <v>49.99</v>
      </c>
      <c r="L65" s="9" t="s">
        <v>435</v>
      </c>
      <c r="M65" s="64" t="s">
        <v>438</v>
      </c>
      <c r="N65" s="64" t="s">
        <v>440</v>
      </c>
      <c r="O65" s="1" t="s">
        <v>256</v>
      </c>
      <c r="P65" s="15" t="s">
        <v>277</v>
      </c>
      <c r="Q65" s="1">
        <v>0</v>
      </c>
      <c r="R65" s="1">
        <v>0</v>
      </c>
      <c r="S65" s="1">
        <v>0</v>
      </c>
      <c r="T65" s="9" t="s">
        <v>443</v>
      </c>
      <c r="U65" s="66">
        <v>0.9</v>
      </c>
      <c r="V65" s="61">
        <v>3</v>
      </c>
      <c r="W65" s="1">
        <v>10</v>
      </c>
      <c r="X65" s="1">
        <v>60.2</v>
      </c>
    </row>
    <row r="66" spans="1:52" s="81" customFormat="1" ht="16.5" x14ac:dyDescent="0.2">
      <c r="A66" s="33">
        <v>65</v>
      </c>
      <c r="B66" s="33" t="s">
        <v>417</v>
      </c>
      <c r="C66" s="34" t="s">
        <v>418</v>
      </c>
      <c r="D66" s="20" t="s">
        <v>427</v>
      </c>
      <c r="E66" s="20" t="s">
        <v>429</v>
      </c>
      <c r="F66" s="37" t="s">
        <v>431</v>
      </c>
      <c r="G66" s="37" t="s">
        <v>374</v>
      </c>
      <c r="H66" s="21" t="s">
        <v>236</v>
      </c>
      <c r="I66" s="60">
        <v>1</v>
      </c>
      <c r="J66" s="75">
        <v>6.4999999999999997E-3</v>
      </c>
      <c r="K66" s="63">
        <v>49.99</v>
      </c>
      <c r="L66" s="37" t="s">
        <v>435</v>
      </c>
      <c r="M66" s="65" t="s">
        <v>438</v>
      </c>
      <c r="N66" s="65" t="s">
        <v>440</v>
      </c>
      <c r="O66" s="17" t="s">
        <v>256</v>
      </c>
      <c r="P66" s="20" t="s">
        <v>277</v>
      </c>
      <c r="Q66" s="17">
        <v>0</v>
      </c>
      <c r="R66" s="17">
        <v>0</v>
      </c>
      <c r="S66" s="17">
        <v>0</v>
      </c>
      <c r="T66" s="37" t="s">
        <v>443</v>
      </c>
      <c r="U66" s="67">
        <v>0.9</v>
      </c>
      <c r="V66" s="60">
        <v>3</v>
      </c>
      <c r="W66" s="17">
        <v>10</v>
      </c>
      <c r="X66" s="17">
        <v>60.2</v>
      </c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</row>
    <row r="67" spans="1:52" ht="16.5" x14ac:dyDescent="0.2">
      <c r="A67" s="4">
        <v>66</v>
      </c>
      <c r="B67" s="4" t="s">
        <v>419</v>
      </c>
      <c r="C67" s="3" t="s">
        <v>420</v>
      </c>
      <c r="D67" s="15" t="s">
        <v>427</v>
      </c>
      <c r="E67" s="15" t="s">
        <v>429</v>
      </c>
      <c r="F67" s="9" t="s">
        <v>431</v>
      </c>
      <c r="G67" s="9" t="s">
        <v>374</v>
      </c>
      <c r="H67" s="6" t="s">
        <v>236</v>
      </c>
      <c r="I67" s="61">
        <v>1</v>
      </c>
      <c r="J67" s="77">
        <v>6.4999999999999997E-3</v>
      </c>
      <c r="K67" s="62">
        <v>49.99</v>
      </c>
      <c r="L67" s="9" t="s">
        <v>435</v>
      </c>
      <c r="M67" s="64" t="s">
        <v>438</v>
      </c>
      <c r="N67" s="64" t="s">
        <v>440</v>
      </c>
      <c r="O67" s="1" t="s">
        <v>256</v>
      </c>
      <c r="P67" s="15" t="s">
        <v>277</v>
      </c>
      <c r="Q67" s="1">
        <v>0</v>
      </c>
      <c r="R67" s="1">
        <v>0</v>
      </c>
      <c r="S67" s="1">
        <v>0</v>
      </c>
      <c r="T67" s="9" t="s">
        <v>443</v>
      </c>
      <c r="U67" s="66">
        <v>0.9</v>
      </c>
      <c r="V67" s="61">
        <v>3</v>
      </c>
      <c r="W67" s="1">
        <v>10</v>
      </c>
      <c r="X67" s="1">
        <v>60.2</v>
      </c>
    </row>
    <row r="68" spans="1:52" s="81" customFormat="1" ht="16.5" x14ac:dyDescent="0.2">
      <c r="A68" s="33">
        <v>67</v>
      </c>
      <c r="B68" s="33" t="s">
        <v>421</v>
      </c>
      <c r="C68" s="34" t="s">
        <v>422</v>
      </c>
      <c r="D68" s="20" t="s">
        <v>427</v>
      </c>
      <c r="E68" s="20" t="s">
        <v>445</v>
      </c>
      <c r="F68" s="37" t="s">
        <v>446</v>
      </c>
      <c r="G68" s="37" t="s">
        <v>374</v>
      </c>
      <c r="H68" s="21" t="s">
        <v>236</v>
      </c>
      <c r="I68" s="60">
        <v>1</v>
      </c>
      <c r="J68" s="75">
        <v>5.1000000000000004E-3</v>
      </c>
      <c r="K68" s="63">
        <v>49.99</v>
      </c>
      <c r="L68" s="37" t="s">
        <v>447</v>
      </c>
      <c r="M68" s="65" t="s">
        <v>449</v>
      </c>
      <c r="N68" s="65" t="s">
        <v>450</v>
      </c>
      <c r="O68" s="17" t="s">
        <v>256</v>
      </c>
      <c r="P68" s="20" t="s">
        <v>277</v>
      </c>
      <c r="Q68" s="17">
        <v>0</v>
      </c>
      <c r="R68" s="17">
        <v>0</v>
      </c>
      <c r="S68" s="17">
        <v>0</v>
      </c>
      <c r="T68" s="37" t="s">
        <v>451</v>
      </c>
      <c r="U68" s="67">
        <v>0.9</v>
      </c>
      <c r="V68" s="60">
        <v>3</v>
      </c>
      <c r="W68" s="17">
        <v>10</v>
      </c>
      <c r="X68" s="17" t="s">
        <v>327</v>
      </c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</row>
    <row r="69" spans="1:52" ht="16.5" x14ac:dyDescent="0.2">
      <c r="A69" s="4">
        <v>68</v>
      </c>
      <c r="B69" s="4" t="s">
        <v>423</v>
      </c>
      <c r="C69" s="3" t="s">
        <v>424</v>
      </c>
      <c r="D69" s="15" t="s">
        <v>427</v>
      </c>
      <c r="E69" s="15" t="s">
        <v>445</v>
      </c>
      <c r="F69" s="9" t="s">
        <v>446</v>
      </c>
      <c r="G69" s="9" t="s">
        <v>374</v>
      </c>
      <c r="H69" s="6" t="s">
        <v>236</v>
      </c>
      <c r="I69" s="61">
        <v>1</v>
      </c>
      <c r="J69" s="77">
        <v>5.1000000000000004E-3</v>
      </c>
      <c r="K69" s="62">
        <v>49.99</v>
      </c>
      <c r="L69" s="9" t="s">
        <v>447</v>
      </c>
      <c r="M69" s="64" t="s">
        <v>449</v>
      </c>
      <c r="N69" s="64" t="s">
        <v>450</v>
      </c>
      <c r="O69" s="1" t="s">
        <v>256</v>
      </c>
      <c r="P69" s="15" t="s">
        <v>277</v>
      </c>
      <c r="Q69" s="1">
        <v>0</v>
      </c>
      <c r="R69" s="1">
        <v>0</v>
      </c>
      <c r="S69" s="1">
        <v>0</v>
      </c>
      <c r="T69" s="9" t="s">
        <v>451</v>
      </c>
      <c r="U69" s="66">
        <v>0.9</v>
      </c>
      <c r="V69" s="61">
        <v>3</v>
      </c>
      <c r="W69" s="1">
        <v>10</v>
      </c>
      <c r="X69" s="1" t="s">
        <v>327</v>
      </c>
    </row>
    <row r="70" spans="1:52" s="81" customFormat="1" ht="16.5" x14ac:dyDescent="0.2">
      <c r="A70" s="33">
        <v>69</v>
      </c>
      <c r="B70" s="33" t="s">
        <v>425</v>
      </c>
      <c r="C70" s="34" t="s">
        <v>426</v>
      </c>
      <c r="D70" s="20" t="s">
        <v>427</v>
      </c>
      <c r="E70" s="20" t="s">
        <v>445</v>
      </c>
      <c r="F70" s="37" t="s">
        <v>446</v>
      </c>
      <c r="G70" s="37" t="s">
        <v>374</v>
      </c>
      <c r="H70" s="21" t="s">
        <v>236</v>
      </c>
      <c r="I70" s="60">
        <v>1</v>
      </c>
      <c r="J70" s="75">
        <v>5.1000000000000004E-3</v>
      </c>
      <c r="K70" s="63">
        <v>49.99</v>
      </c>
      <c r="L70" s="37" t="s">
        <v>447</v>
      </c>
      <c r="M70" s="65" t="s">
        <v>449</v>
      </c>
      <c r="N70" s="65" t="s">
        <v>450</v>
      </c>
      <c r="O70" s="17" t="s">
        <v>256</v>
      </c>
      <c r="P70" s="20" t="s">
        <v>277</v>
      </c>
      <c r="Q70" s="17">
        <v>0</v>
      </c>
      <c r="R70" s="17">
        <v>0</v>
      </c>
      <c r="S70" s="17">
        <v>0</v>
      </c>
      <c r="T70" s="37" t="s">
        <v>451</v>
      </c>
      <c r="U70" s="67">
        <v>0.9</v>
      </c>
      <c r="V70" s="60">
        <v>3</v>
      </c>
      <c r="W70" s="17">
        <v>10</v>
      </c>
      <c r="X70" s="17" t="s">
        <v>327</v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</row>
  </sheetData>
  <phoneticPr fontId="25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E22A-520B-406F-A5BD-FBC55DD0D6DA}">
  <dimension ref="A1:U5"/>
  <sheetViews>
    <sheetView tabSelected="1" topLeftCell="J1" zoomScale="80" zoomScaleNormal="80" workbookViewId="0">
      <selection activeCell="S12" sqref="S12"/>
    </sheetView>
  </sheetViews>
  <sheetFormatPr defaultColWidth="9" defaultRowHeight="14.25" x14ac:dyDescent="0.2"/>
  <cols>
    <col min="1" max="1" width="5.5" customWidth="1"/>
    <col min="2" max="2" width="13" bestFit="1" customWidth="1"/>
    <col min="3" max="3" width="8.5" style="69" bestFit="1" customWidth="1"/>
    <col min="4" max="4" width="23.25" customWidth="1"/>
    <col min="5" max="6" width="13.25" bestFit="1" customWidth="1"/>
    <col min="7" max="7" width="15.625" bestFit="1" customWidth="1"/>
    <col min="8" max="8" width="13.25" bestFit="1" customWidth="1"/>
    <col min="9" max="9" width="26.25" customWidth="1"/>
    <col min="10" max="10" width="21.875" bestFit="1" customWidth="1"/>
    <col min="11" max="11" width="11.125" customWidth="1"/>
    <col min="12" max="12" width="6.75" customWidth="1"/>
    <col min="13" max="13" width="8.625" customWidth="1"/>
    <col min="14" max="15" width="10.75" customWidth="1"/>
    <col min="16" max="16" width="15.375" customWidth="1"/>
    <col min="17" max="17" width="10.75" customWidth="1"/>
    <col min="18" max="18" width="13.25" bestFit="1" customWidth="1"/>
    <col min="19" max="20" width="9.25" customWidth="1"/>
  </cols>
  <sheetData>
    <row r="1" spans="1:21" s="8" customFormat="1" ht="36" x14ac:dyDescent="0.2">
      <c r="A1" s="30" t="s">
        <v>0</v>
      </c>
      <c r="B1" s="30" t="s">
        <v>304</v>
      </c>
      <c r="C1" s="30" t="s">
        <v>303</v>
      </c>
      <c r="D1" s="30" t="s">
        <v>306</v>
      </c>
      <c r="E1" s="30" t="s">
        <v>307</v>
      </c>
      <c r="F1" s="30" t="s">
        <v>309</v>
      </c>
      <c r="G1" s="30" t="s">
        <v>310</v>
      </c>
      <c r="H1" s="30" t="s">
        <v>311</v>
      </c>
      <c r="I1" s="30" t="s">
        <v>313</v>
      </c>
      <c r="J1" s="30" t="s">
        <v>315</v>
      </c>
      <c r="K1" s="30" t="s">
        <v>317</v>
      </c>
      <c r="L1" s="30" t="s">
        <v>318</v>
      </c>
      <c r="M1" s="30" t="s">
        <v>319</v>
      </c>
      <c r="N1" s="30" t="s">
        <v>906</v>
      </c>
      <c r="O1" s="30" t="s">
        <v>320</v>
      </c>
      <c r="P1" s="30" t="s">
        <v>321</v>
      </c>
      <c r="Q1" s="30" t="s">
        <v>323</v>
      </c>
      <c r="R1" s="30" t="s">
        <v>324</v>
      </c>
      <c r="S1" s="30" t="s">
        <v>325</v>
      </c>
      <c r="T1" s="30" t="s">
        <v>326</v>
      </c>
    </row>
    <row r="2" spans="1:21" s="12" customFormat="1" ht="16.5" x14ac:dyDescent="0.2">
      <c r="A2" s="33">
        <v>1</v>
      </c>
      <c r="B2" s="33" t="s">
        <v>682</v>
      </c>
      <c r="C2" s="33" t="s">
        <v>328</v>
      </c>
      <c r="D2" s="33" t="s">
        <v>683</v>
      </c>
      <c r="E2" s="20" t="s">
        <v>308</v>
      </c>
      <c r="F2" s="92">
        <v>0.98799999999999999</v>
      </c>
      <c r="G2" s="74">
        <v>0.98799999999999999</v>
      </c>
      <c r="H2" s="21" t="s">
        <v>312</v>
      </c>
      <c r="I2" s="17" t="s">
        <v>684</v>
      </c>
      <c r="J2" s="63" t="s">
        <v>685</v>
      </c>
      <c r="K2" s="37" t="s">
        <v>909</v>
      </c>
      <c r="L2" s="65" t="s">
        <v>686</v>
      </c>
      <c r="M2" s="65" t="s">
        <v>686</v>
      </c>
      <c r="N2" s="17" t="s">
        <v>910</v>
      </c>
      <c r="O2" s="92">
        <v>2.9000000000000001E-2</v>
      </c>
      <c r="P2" s="17" t="s">
        <v>687</v>
      </c>
      <c r="Q2" s="75">
        <v>0.99199999999999999</v>
      </c>
      <c r="R2" s="37">
        <v>0.97699999999999998</v>
      </c>
      <c r="S2" s="21">
        <v>0.95299999999999996</v>
      </c>
      <c r="T2" s="75">
        <v>0.01</v>
      </c>
      <c r="U2" s="12" t="s">
        <v>816</v>
      </c>
    </row>
    <row r="3" spans="1:21" s="12" customFormat="1" ht="16.5" x14ac:dyDescent="0.2">
      <c r="A3" s="135">
        <v>2</v>
      </c>
      <c r="B3" s="135" t="s">
        <v>682</v>
      </c>
      <c r="C3" s="135" t="s">
        <v>328</v>
      </c>
      <c r="D3" s="135" t="s">
        <v>820</v>
      </c>
      <c r="E3" s="136" t="s">
        <v>308</v>
      </c>
      <c r="F3" s="137" t="s">
        <v>327</v>
      </c>
      <c r="G3" s="138">
        <v>0.98099999999999998</v>
      </c>
      <c r="H3" s="139" t="s">
        <v>312</v>
      </c>
      <c r="I3" s="140" t="s">
        <v>819</v>
      </c>
      <c r="J3" s="141" t="s">
        <v>818</v>
      </c>
      <c r="K3" s="142" t="s">
        <v>327</v>
      </c>
      <c r="L3" s="140" t="s">
        <v>327</v>
      </c>
      <c r="M3" s="140" t="s">
        <v>327</v>
      </c>
      <c r="N3" s="143" t="s">
        <v>327</v>
      </c>
      <c r="O3" s="137" t="s">
        <v>327</v>
      </c>
      <c r="P3" s="143" t="s">
        <v>327</v>
      </c>
      <c r="Q3" s="144" t="s">
        <v>327</v>
      </c>
      <c r="R3" s="142" t="s">
        <v>327</v>
      </c>
      <c r="S3" s="139" t="s">
        <v>327</v>
      </c>
      <c r="T3" s="144">
        <v>8.9999999999999993E-3</v>
      </c>
      <c r="U3" s="12" t="s">
        <v>817</v>
      </c>
    </row>
    <row r="4" spans="1:21" s="12" customFormat="1" ht="16.5" x14ac:dyDescent="0.2">
      <c r="A4" s="33">
        <v>3</v>
      </c>
      <c r="B4" s="33" t="s">
        <v>901</v>
      </c>
      <c r="C4" s="33" t="s">
        <v>900</v>
      </c>
      <c r="D4" s="33" t="s">
        <v>902</v>
      </c>
      <c r="E4" s="20" t="s">
        <v>308</v>
      </c>
      <c r="F4" s="92">
        <v>0.98899999999999999</v>
      </c>
      <c r="G4" s="74">
        <v>0.98599999999999999</v>
      </c>
      <c r="H4" s="21" t="s">
        <v>312</v>
      </c>
      <c r="I4" s="17" t="s">
        <v>903</v>
      </c>
      <c r="J4" s="63" t="s">
        <v>904</v>
      </c>
      <c r="K4" s="37" t="s">
        <v>905</v>
      </c>
      <c r="L4" s="65" t="s">
        <v>308</v>
      </c>
      <c r="M4" s="65" t="s">
        <v>308</v>
      </c>
      <c r="N4" s="17" t="s">
        <v>907</v>
      </c>
      <c r="O4" s="92">
        <v>4.7E-2</v>
      </c>
      <c r="P4" s="17" t="s">
        <v>908</v>
      </c>
      <c r="Q4" s="75">
        <v>0.99</v>
      </c>
      <c r="R4" s="37">
        <v>0.98699999999999999</v>
      </c>
      <c r="S4" s="21">
        <v>0.99</v>
      </c>
      <c r="T4" s="75">
        <v>7.0000000000000001E-3</v>
      </c>
      <c r="U4" s="12" t="s">
        <v>816</v>
      </c>
    </row>
    <row r="5" spans="1:21" x14ac:dyDescent="0.2">
      <c r="D5" s="45" t="s">
        <v>305</v>
      </c>
      <c r="I5" s="45" t="s">
        <v>314</v>
      </c>
      <c r="J5" s="45" t="s">
        <v>316</v>
      </c>
      <c r="P5" s="45" t="s">
        <v>322</v>
      </c>
    </row>
  </sheetData>
  <phoneticPr fontId="25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2B80-C0D6-4340-94CA-483342076011}">
  <dimension ref="A1:T35"/>
  <sheetViews>
    <sheetView workbookViewId="0">
      <selection activeCell="I9" sqref="I9"/>
    </sheetView>
  </sheetViews>
  <sheetFormatPr defaultColWidth="9" defaultRowHeight="14.25" x14ac:dyDescent="0.2"/>
  <cols>
    <col min="1" max="1" width="15.375" style="46" bestFit="1" customWidth="1"/>
    <col min="2" max="2" width="11.25" style="46" customWidth="1"/>
    <col min="3" max="4" width="11.875" style="46" customWidth="1"/>
    <col min="5" max="5" width="17.5" style="46" customWidth="1"/>
    <col min="6" max="6" width="12.75" style="46" customWidth="1"/>
    <col min="7" max="7" width="11.875" style="46" customWidth="1"/>
    <col min="8" max="8" width="13.25" style="46" bestFit="1" customWidth="1"/>
    <col min="9" max="9" width="11.625" style="46" bestFit="1" customWidth="1"/>
    <col min="10" max="10" width="13.875" style="46" bestFit="1" customWidth="1"/>
    <col min="11" max="11" width="11" style="46" customWidth="1"/>
    <col min="12" max="12" width="16.75" style="46" customWidth="1"/>
    <col min="13" max="14" width="12.5" style="46" customWidth="1"/>
    <col min="15" max="15" width="18.375" style="46" customWidth="1"/>
    <col min="16" max="16" width="12.5" style="46" customWidth="1"/>
    <col min="17" max="16384" width="9" style="46"/>
  </cols>
  <sheetData>
    <row r="1" spans="1:20" x14ac:dyDescent="0.2">
      <c r="A1" s="129" t="s">
        <v>198</v>
      </c>
      <c r="B1" s="129"/>
      <c r="C1" s="132"/>
      <c r="D1" s="132"/>
      <c r="E1" s="132"/>
      <c r="F1" s="132"/>
      <c r="G1" s="132"/>
      <c r="H1" s="132"/>
      <c r="J1" s="129" t="s">
        <v>164</v>
      </c>
      <c r="K1" s="129"/>
      <c r="L1" s="132"/>
      <c r="M1" s="132"/>
      <c r="N1" s="132"/>
      <c r="O1" s="132"/>
      <c r="P1" s="132"/>
    </row>
    <row r="2" spans="1:20" ht="18.75" x14ac:dyDescent="0.2">
      <c r="A2" s="47" t="s">
        <v>165</v>
      </c>
      <c r="B2" s="47" t="s">
        <v>166</v>
      </c>
      <c r="C2" s="48" t="s">
        <v>167</v>
      </c>
      <c r="D2" s="48" t="s">
        <v>168</v>
      </c>
      <c r="E2" s="48" t="s">
        <v>169</v>
      </c>
      <c r="F2" s="48" t="s">
        <v>170</v>
      </c>
      <c r="G2" s="48" t="s">
        <v>171</v>
      </c>
      <c r="H2" s="48" t="s">
        <v>172</v>
      </c>
      <c r="J2" s="47" t="s">
        <v>165</v>
      </c>
      <c r="K2" s="48" t="s">
        <v>166</v>
      </c>
      <c r="L2" s="48" t="s">
        <v>173</v>
      </c>
      <c r="M2" s="48" t="s">
        <v>174</v>
      </c>
      <c r="N2" s="48" t="s">
        <v>168</v>
      </c>
      <c r="O2" s="48" t="s">
        <v>169</v>
      </c>
      <c r="P2" s="48" t="s">
        <v>175</v>
      </c>
    </row>
    <row r="3" spans="1:20" x14ac:dyDescent="0.2">
      <c r="A3" s="49">
        <v>500000</v>
      </c>
      <c r="B3" s="49">
        <v>1</v>
      </c>
      <c r="C3" s="49">
        <v>36</v>
      </c>
      <c r="D3" s="49">
        <v>6</v>
      </c>
      <c r="E3" s="49">
        <v>0.95</v>
      </c>
      <c r="F3" s="49">
        <f>A3*B3/(C3*D3*E3)</f>
        <v>2436.6471734892789</v>
      </c>
      <c r="G3" s="49">
        <v>546</v>
      </c>
      <c r="H3" s="49">
        <f t="shared" ref="H3:H10" si="0">F3/G3</f>
        <v>4.4627237609693751</v>
      </c>
      <c r="J3" s="49">
        <v>436000</v>
      </c>
      <c r="K3" s="49">
        <v>1</v>
      </c>
      <c r="L3" s="49">
        <v>40</v>
      </c>
      <c r="M3" s="49">
        <v>1.75</v>
      </c>
      <c r="N3" s="49">
        <v>6</v>
      </c>
      <c r="O3" s="49">
        <v>0.95</v>
      </c>
      <c r="P3" s="49">
        <f>J3*K3/(L3*M3*N3*O3)</f>
        <v>1092.7318295739349</v>
      </c>
    </row>
    <row r="4" spans="1:20" x14ac:dyDescent="0.2">
      <c r="A4" s="49">
        <v>500000</v>
      </c>
      <c r="B4" s="49">
        <v>1</v>
      </c>
      <c r="C4" s="49">
        <v>38</v>
      </c>
      <c r="D4" s="49">
        <v>6</v>
      </c>
      <c r="E4" s="49">
        <v>0.95</v>
      </c>
      <c r="F4" s="49">
        <f t="shared" ref="F4:F10" si="1">A4*B4/(C4*D4*E4)</f>
        <v>2308.4025854108959</v>
      </c>
      <c r="G4" s="49">
        <v>546</v>
      </c>
      <c r="H4" s="49">
        <f t="shared" si="0"/>
        <v>4.2278435630236189</v>
      </c>
      <c r="J4" s="49">
        <v>20000</v>
      </c>
      <c r="K4" s="49">
        <v>0.9</v>
      </c>
      <c r="L4" s="49">
        <v>16</v>
      </c>
      <c r="M4" s="49">
        <v>1.75</v>
      </c>
      <c r="N4" s="49">
        <v>6</v>
      </c>
      <c r="O4" s="49">
        <v>0.95</v>
      </c>
      <c r="P4" s="49">
        <f t="shared" ref="P4:P10" si="2">J4*K4/(L4*M4*N4*O4)</f>
        <v>112.78195488721805</v>
      </c>
    </row>
    <row r="5" spans="1:20" x14ac:dyDescent="0.2">
      <c r="A5" s="49">
        <v>500000</v>
      </c>
      <c r="B5" s="49">
        <v>1</v>
      </c>
      <c r="C5" s="49">
        <v>40</v>
      </c>
      <c r="D5" s="49">
        <v>6</v>
      </c>
      <c r="E5" s="49">
        <v>0.95</v>
      </c>
      <c r="F5" s="49">
        <f t="shared" si="1"/>
        <v>2192.9824561403507</v>
      </c>
      <c r="G5" s="49">
        <v>546</v>
      </c>
      <c r="H5" s="49">
        <f t="shared" si="0"/>
        <v>4.016451384872437</v>
      </c>
      <c r="J5" s="49">
        <v>20000</v>
      </c>
      <c r="K5" s="49">
        <v>0.9</v>
      </c>
      <c r="L5" s="49">
        <v>16</v>
      </c>
      <c r="M5" s="49">
        <v>1.75</v>
      </c>
      <c r="N5" s="49">
        <v>6</v>
      </c>
      <c r="O5" s="49">
        <v>0.95</v>
      </c>
      <c r="P5" s="49">
        <f t="shared" si="2"/>
        <v>112.78195488721805</v>
      </c>
    </row>
    <row r="6" spans="1:20" x14ac:dyDescent="0.2">
      <c r="A6" s="49">
        <v>500000</v>
      </c>
      <c r="B6" s="49">
        <v>1</v>
      </c>
      <c r="C6" s="49">
        <v>42</v>
      </c>
      <c r="D6" s="49">
        <v>6</v>
      </c>
      <c r="E6" s="49">
        <v>0.95</v>
      </c>
      <c r="F6" s="49">
        <f t="shared" ref="F6" si="3">A6*B6/(C6*D6*E6)</f>
        <v>2088.5547201336676</v>
      </c>
      <c r="G6" s="49">
        <v>546</v>
      </c>
      <c r="H6" s="49">
        <f t="shared" ref="H6" si="4">F6/G6</f>
        <v>3.8251917951166075</v>
      </c>
      <c r="J6" s="49">
        <v>20000</v>
      </c>
      <c r="K6" s="49">
        <v>0.9</v>
      </c>
      <c r="L6" s="49">
        <v>16</v>
      </c>
      <c r="M6" s="49">
        <v>1.75</v>
      </c>
      <c r="N6" s="49">
        <v>6</v>
      </c>
      <c r="O6" s="49">
        <v>0.95</v>
      </c>
      <c r="P6" s="49">
        <f t="shared" si="2"/>
        <v>112.78195488721805</v>
      </c>
    </row>
    <row r="7" spans="1:20" x14ac:dyDescent="0.2">
      <c r="A7" s="49">
        <v>500000</v>
      </c>
      <c r="B7" s="49">
        <v>1</v>
      </c>
      <c r="C7" s="49">
        <v>44</v>
      </c>
      <c r="D7" s="49">
        <v>6</v>
      </c>
      <c r="E7" s="49">
        <v>0.95</v>
      </c>
      <c r="F7" s="49">
        <f t="shared" si="1"/>
        <v>1993.6204146730463</v>
      </c>
      <c r="G7" s="49">
        <v>546</v>
      </c>
      <c r="H7" s="49">
        <f t="shared" si="0"/>
        <v>3.6513194407931251</v>
      </c>
      <c r="J7" s="49">
        <v>20000</v>
      </c>
      <c r="K7" s="49">
        <v>0.9</v>
      </c>
      <c r="L7" s="49">
        <v>16</v>
      </c>
      <c r="M7" s="49">
        <v>1.75</v>
      </c>
      <c r="N7" s="49">
        <v>6</v>
      </c>
      <c r="O7" s="49">
        <v>0.95</v>
      </c>
      <c r="P7" s="49">
        <f t="shared" si="2"/>
        <v>112.78195488721805</v>
      </c>
    </row>
    <row r="8" spans="1:20" x14ac:dyDescent="0.2">
      <c r="A8" s="49">
        <v>500000</v>
      </c>
      <c r="B8" s="49">
        <v>1</v>
      </c>
      <c r="C8" s="49">
        <v>46</v>
      </c>
      <c r="D8" s="49">
        <v>6</v>
      </c>
      <c r="E8" s="49">
        <v>0.95</v>
      </c>
      <c r="F8" s="49">
        <f t="shared" si="1"/>
        <v>1906.9412662090008</v>
      </c>
      <c r="G8" s="49">
        <v>546</v>
      </c>
      <c r="H8" s="49">
        <f t="shared" si="0"/>
        <v>3.4925664216282066</v>
      </c>
      <c r="J8" s="49">
        <v>20000</v>
      </c>
      <c r="K8" s="49">
        <v>0.9</v>
      </c>
      <c r="L8" s="49">
        <v>16</v>
      </c>
      <c r="M8" s="49">
        <v>1.75</v>
      </c>
      <c r="N8" s="49">
        <v>6</v>
      </c>
      <c r="O8" s="49">
        <v>0.95</v>
      </c>
      <c r="P8" s="49">
        <f t="shared" si="2"/>
        <v>112.78195488721805</v>
      </c>
    </row>
    <row r="9" spans="1:20" x14ac:dyDescent="0.2">
      <c r="A9" s="49">
        <v>500000</v>
      </c>
      <c r="B9" s="49">
        <v>1</v>
      </c>
      <c r="C9" s="49">
        <v>48</v>
      </c>
      <c r="D9" s="49">
        <v>6</v>
      </c>
      <c r="E9" s="49">
        <v>0.95</v>
      </c>
      <c r="F9" s="49">
        <f t="shared" si="1"/>
        <v>1827.4853801169593</v>
      </c>
      <c r="G9" s="49">
        <v>546</v>
      </c>
      <c r="H9" s="49">
        <f t="shared" si="0"/>
        <v>3.3470428207270317</v>
      </c>
      <c r="J9" s="49">
        <v>20000</v>
      </c>
      <c r="K9" s="49">
        <v>0.9</v>
      </c>
      <c r="L9" s="49">
        <v>16</v>
      </c>
      <c r="M9" s="49">
        <v>1.75</v>
      </c>
      <c r="N9" s="49">
        <v>6</v>
      </c>
      <c r="O9" s="49">
        <v>0.95</v>
      </c>
      <c r="P9" s="49">
        <f t="shared" si="2"/>
        <v>112.78195488721805</v>
      </c>
    </row>
    <row r="10" spans="1:20" x14ac:dyDescent="0.2">
      <c r="A10" s="49">
        <v>500000</v>
      </c>
      <c r="B10" s="49">
        <v>1</v>
      </c>
      <c r="C10" s="49">
        <v>50</v>
      </c>
      <c r="D10" s="49">
        <v>6</v>
      </c>
      <c r="E10" s="49">
        <v>0.95</v>
      </c>
      <c r="F10" s="49">
        <f t="shared" si="1"/>
        <v>1754.3859649122808</v>
      </c>
      <c r="G10" s="49">
        <v>546</v>
      </c>
      <c r="H10" s="49">
        <f t="shared" si="0"/>
        <v>3.2131611078979501</v>
      </c>
      <c r="J10" s="49">
        <v>20000</v>
      </c>
      <c r="K10" s="49">
        <v>0.9</v>
      </c>
      <c r="L10" s="49">
        <v>16</v>
      </c>
      <c r="M10" s="49">
        <v>1.75</v>
      </c>
      <c r="N10" s="49">
        <v>6</v>
      </c>
      <c r="O10" s="49">
        <v>0.95</v>
      </c>
      <c r="P10" s="49">
        <f t="shared" si="2"/>
        <v>112.78195488721805</v>
      </c>
    </row>
    <row r="11" spans="1:20" ht="22.5" x14ac:dyDescent="0.2">
      <c r="A11" s="50" t="s">
        <v>176</v>
      </c>
      <c r="B11" s="50" t="s">
        <v>177</v>
      </c>
      <c r="C11" s="50" t="s">
        <v>178</v>
      </c>
      <c r="D11" s="51"/>
      <c r="E11" s="50" t="s">
        <v>179</v>
      </c>
      <c r="F11" s="51"/>
      <c r="G11" s="50" t="s">
        <v>180</v>
      </c>
      <c r="H11" s="50" t="s">
        <v>181</v>
      </c>
      <c r="J11" s="50" t="s">
        <v>182</v>
      </c>
      <c r="K11" s="50"/>
      <c r="L11" s="50" t="s">
        <v>178</v>
      </c>
      <c r="M11" s="52"/>
      <c r="N11" s="52"/>
      <c r="O11" s="50" t="s">
        <v>179</v>
      </c>
      <c r="P11" s="52"/>
    </row>
    <row r="13" spans="1:20" ht="14.45" customHeight="1" x14ac:dyDescent="0.2">
      <c r="A13" s="133" t="s">
        <v>211</v>
      </c>
      <c r="B13" s="133"/>
      <c r="C13" s="133"/>
      <c r="D13" s="133"/>
      <c r="E13" s="133"/>
      <c r="F13" s="133"/>
      <c r="G13" s="133"/>
      <c r="H13" s="133"/>
      <c r="I13" s="53"/>
      <c r="J13" s="131" t="s">
        <v>183</v>
      </c>
      <c r="K13" s="131"/>
      <c r="L13" s="127"/>
      <c r="M13" s="127"/>
      <c r="N13" s="127"/>
      <c r="O13" s="127"/>
      <c r="P13" s="127"/>
      <c r="Q13" s="53"/>
      <c r="R13" s="53"/>
      <c r="S13" s="53"/>
      <c r="T13" s="53"/>
    </row>
    <row r="14" spans="1:20" x14ac:dyDescent="0.2">
      <c r="A14" s="127" t="s">
        <v>346</v>
      </c>
      <c r="B14" s="127"/>
      <c r="C14" s="127"/>
      <c r="D14" s="127"/>
      <c r="E14" s="127"/>
      <c r="F14" s="127"/>
      <c r="G14" s="127"/>
      <c r="H14" s="127"/>
      <c r="I14" s="53"/>
      <c r="J14" s="131" t="s">
        <v>184</v>
      </c>
      <c r="K14" s="131"/>
      <c r="L14" s="127"/>
      <c r="M14" s="127"/>
      <c r="N14" s="127"/>
      <c r="O14" s="127"/>
      <c r="P14" s="127"/>
      <c r="Q14" s="53"/>
      <c r="R14" s="53"/>
      <c r="S14" s="53"/>
      <c r="T14" s="53"/>
    </row>
    <row r="15" spans="1:20" x14ac:dyDescent="0.2">
      <c r="A15" s="127" t="s">
        <v>347</v>
      </c>
      <c r="B15" s="127"/>
      <c r="C15" s="127"/>
      <c r="D15" s="127"/>
      <c r="E15" s="127"/>
      <c r="F15" s="127"/>
      <c r="G15" s="127"/>
      <c r="H15" s="127"/>
      <c r="I15" s="53"/>
      <c r="J15" s="127" t="s">
        <v>185</v>
      </c>
      <c r="K15" s="127"/>
      <c r="L15" s="127"/>
      <c r="M15" s="127"/>
      <c r="N15" s="127"/>
      <c r="O15" s="127"/>
      <c r="P15" s="127"/>
      <c r="Q15" s="53"/>
      <c r="R15" s="53"/>
      <c r="S15" s="53"/>
      <c r="T15" s="53"/>
    </row>
    <row r="16" spans="1:20" x14ac:dyDescent="0.2">
      <c r="A16" s="127" t="s">
        <v>348</v>
      </c>
      <c r="B16" s="127"/>
      <c r="C16" s="127"/>
      <c r="D16" s="127"/>
      <c r="E16" s="127"/>
      <c r="F16" s="127"/>
      <c r="G16" s="127"/>
      <c r="H16" s="127"/>
      <c r="I16" s="53"/>
      <c r="J16" s="127" t="s">
        <v>186</v>
      </c>
      <c r="K16" s="127"/>
      <c r="L16" s="127"/>
      <c r="M16" s="127"/>
      <c r="N16" s="127"/>
      <c r="O16" s="127"/>
      <c r="P16" s="127"/>
      <c r="Q16" s="53"/>
      <c r="R16" s="53"/>
      <c r="S16" s="53"/>
      <c r="T16" s="53"/>
    </row>
    <row r="17" spans="1:20" x14ac:dyDescent="0.2">
      <c r="A17" s="127" t="s">
        <v>349</v>
      </c>
      <c r="B17" s="127"/>
      <c r="C17" s="127"/>
      <c r="D17" s="127"/>
      <c r="E17" s="127"/>
      <c r="F17" s="127"/>
      <c r="G17" s="127"/>
      <c r="H17" s="127"/>
      <c r="I17" s="53"/>
      <c r="J17" s="127" t="s">
        <v>187</v>
      </c>
      <c r="K17" s="127"/>
      <c r="L17" s="127"/>
      <c r="M17" s="127"/>
      <c r="N17" s="53"/>
      <c r="O17" s="53"/>
      <c r="P17" s="53"/>
      <c r="Q17" s="53"/>
      <c r="R17" s="53"/>
      <c r="S17" s="53"/>
      <c r="T17" s="53"/>
    </row>
    <row r="18" spans="1:20" x14ac:dyDescent="0.2">
      <c r="A18" s="127" t="s">
        <v>350</v>
      </c>
      <c r="B18" s="127"/>
      <c r="C18" s="127"/>
      <c r="D18" s="127"/>
      <c r="E18" s="127"/>
      <c r="F18" s="127"/>
      <c r="G18" s="127"/>
      <c r="H18" s="127"/>
      <c r="I18" s="53"/>
      <c r="J18" s="127" t="s">
        <v>188</v>
      </c>
      <c r="K18" s="127"/>
      <c r="L18" s="127"/>
      <c r="M18" s="127"/>
      <c r="N18" s="127"/>
      <c r="O18" s="53"/>
      <c r="P18" s="53"/>
      <c r="Q18" s="53"/>
      <c r="R18" s="53"/>
      <c r="S18" s="53"/>
      <c r="T18" s="53"/>
    </row>
    <row r="19" spans="1:20" x14ac:dyDescent="0.2">
      <c r="A19" s="127" t="s">
        <v>351</v>
      </c>
      <c r="B19" s="127"/>
      <c r="C19" s="127"/>
      <c r="D19" s="127"/>
      <c r="E19" s="127"/>
      <c r="F19" s="127"/>
      <c r="G19" s="127"/>
      <c r="H19" s="127"/>
      <c r="I19" s="53"/>
      <c r="J19" s="131" t="s">
        <v>189</v>
      </c>
      <c r="K19" s="131"/>
      <c r="L19" s="131"/>
      <c r="M19" s="53"/>
      <c r="N19" s="53"/>
      <c r="O19" s="53"/>
      <c r="P19" s="53"/>
      <c r="Q19" s="53"/>
      <c r="R19" s="53"/>
      <c r="S19" s="53"/>
      <c r="T19" s="53"/>
    </row>
    <row r="20" spans="1:20" x14ac:dyDescent="0.2">
      <c r="A20" s="131" t="s">
        <v>190</v>
      </c>
      <c r="B20" s="131"/>
      <c r="C20" s="131"/>
      <c r="D20" s="131"/>
      <c r="E20" s="131"/>
      <c r="F20" s="131"/>
      <c r="G20" s="131"/>
      <c r="H20" s="131"/>
      <c r="I20" s="53"/>
      <c r="J20" s="127" t="s">
        <v>191</v>
      </c>
      <c r="K20" s="127"/>
      <c r="L20" s="127"/>
      <c r="M20" s="127"/>
      <c r="N20" s="127"/>
      <c r="O20" s="127"/>
      <c r="P20" s="53"/>
      <c r="Q20" s="53"/>
      <c r="R20" s="53"/>
      <c r="S20" s="53"/>
      <c r="T20" s="53"/>
    </row>
    <row r="21" spans="1:20" x14ac:dyDescent="0.2">
      <c r="A21" s="127" t="s">
        <v>192</v>
      </c>
      <c r="B21" s="127"/>
      <c r="C21" s="127"/>
      <c r="D21" s="127"/>
      <c r="E21" s="127"/>
      <c r="F21" s="127"/>
      <c r="G21" s="127"/>
      <c r="H21" s="127"/>
      <c r="J21" s="131" t="s">
        <v>193</v>
      </c>
      <c r="K21" s="131"/>
      <c r="L21" s="127"/>
      <c r="M21" s="127"/>
    </row>
    <row r="22" spans="1:20" x14ac:dyDescent="0.2">
      <c r="A22" s="127" t="s">
        <v>352</v>
      </c>
      <c r="B22" s="127"/>
      <c r="C22" s="127"/>
      <c r="D22" s="127"/>
      <c r="E22" s="127"/>
      <c r="F22" s="127"/>
      <c r="G22" s="127"/>
      <c r="H22" s="127"/>
      <c r="J22" s="127" t="s">
        <v>194</v>
      </c>
      <c r="K22" s="127"/>
      <c r="L22" s="127"/>
      <c r="M22" s="127"/>
    </row>
    <row r="23" spans="1:20" x14ac:dyDescent="0.2">
      <c r="A23" s="127" t="s">
        <v>353</v>
      </c>
      <c r="B23" s="127"/>
      <c r="C23" s="127"/>
      <c r="D23" s="127"/>
      <c r="E23" s="127"/>
      <c r="F23" s="127"/>
      <c r="G23" s="127"/>
      <c r="H23" s="127"/>
      <c r="J23" s="127" t="s">
        <v>195</v>
      </c>
      <c r="K23" s="127"/>
      <c r="L23" s="127"/>
      <c r="M23" s="127"/>
    </row>
    <row r="24" spans="1:20" x14ac:dyDescent="0.2">
      <c r="A24" s="127" t="s">
        <v>354</v>
      </c>
      <c r="B24" s="127"/>
      <c r="C24" s="127"/>
      <c r="D24" s="127"/>
      <c r="E24" s="127"/>
      <c r="F24" s="127"/>
      <c r="G24" s="127"/>
      <c r="H24" s="127"/>
      <c r="J24" s="127" t="s">
        <v>196</v>
      </c>
      <c r="K24" s="127"/>
      <c r="L24" s="127"/>
      <c r="M24" s="127"/>
    </row>
    <row r="25" spans="1:20" x14ac:dyDescent="0.2">
      <c r="A25" s="127" t="s">
        <v>355</v>
      </c>
      <c r="B25" s="127"/>
      <c r="C25" s="127"/>
      <c r="D25" s="127"/>
      <c r="E25" s="127"/>
      <c r="F25" s="127"/>
      <c r="G25" s="127"/>
      <c r="H25" s="127"/>
    </row>
    <row r="27" spans="1:20" x14ac:dyDescent="0.2">
      <c r="A27" s="129" t="s">
        <v>214</v>
      </c>
      <c r="B27" s="130"/>
      <c r="C27" s="130"/>
      <c r="D27" s="130"/>
      <c r="E27" s="130"/>
      <c r="F27" s="130"/>
      <c r="G27" s="130"/>
      <c r="H27" s="130"/>
      <c r="I27" s="130"/>
    </row>
    <row r="28" spans="1:20" x14ac:dyDescent="0.2">
      <c r="A28" s="57" t="s">
        <v>199</v>
      </c>
      <c r="B28" s="57" t="s">
        <v>166</v>
      </c>
      <c r="C28" s="57" t="s">
        <v>200</v>
      </c>
      <c r="D28" s="57" t="s">
        <v>201</v>
      </c>
      <c r="E28" s="57" t="s">
        <v>202</v>
      </c>
      <c r="F28" s="57" t="s">
        <v>203</v>
      </c>
      <c r="G28" s="57" t="s">
        <v>204</v>
      </c>
      <c r="H28" s="57" t="s">
        <v>205</v>
      </c>
      <c r="I28" s="57" t="s">
        <v>206</v>
      </c>
      <c r="J28" s="57" t="s">
        <v>329</v>
      </c>
      <c r="K28" s="57" t="s">
        <v>330</v>
      </c>
      <c r="L28" s="57" t="s">
        <v>331</v>
      </c>
      <c r="M28" s="57" t="s">
        <v>332</v>
      </c>
    </row>
    <row r="29" spans="1:20" x14ac:dyDescent="0.2">
      <c r="A29" s="49">
        <v>160000</v>
      </c>
      <c r="B29" s="49">
        <v>1</v>
      </c>
      <c r="C29" s="49">
        <v>60</v>
      </c>
      <c r="D29" s="49">
        <v>512</v>
      </c>
      <c r="E29" s="49">
        <v>0.93</v>
      </c>
      <c r="F29" s="49">
        <v>0.95</v>
      </c>
      <c r="G29" s="49">
        <f>A29*B29*C29/(D29*E29*F29)/60</f>
        <v>353.70684776457273</v>
      </c>
      <c r="H29" s="90">
        <f>G29/100</f>
        <v>3.5370684776457271</v>
      </c>
      <c r="I29" s="90">
        <f>G29/200</f>
        <v>1.7685342388228635</v>
      </c>
      <c r="J29" s="58">
        <f>G29/70</f>
        <v>5.0529549680653245</v>
      </c>
      <c r="K29" s="58">
        <f>G29/140</f>
        <v>2.5264774840326623</v>
      </c>
      <c r="L29" s="58">
        <f>G29/210</f>
        <v>1.6843183226884415</v>
      </c>
      <c r="M29" s="58">
        <f>G29/280</f>
        <v>1.2632387420163311</v>
      </c>
      <c r="N29" s="59" t="s">
        <v>207</v>
      </c>
    </row>
    <row r="30" spans="1:20" x14ac:dyDescent="0.2">
      <c r="A30" s="49">
        <v>160000</v>
      </c>
      <c r="B30" s="49">
        <v>1</v>
      </c>
      <c r="C30" s="49">
        <v>30</v>
      </c>
      <c r="D30" s="49">
        <v>512</v>
      </c>
      <c r="E30" s="58">
        <v>0.9</v>
      </c>
      <c r="F30" s="49">
        <v>0.95</v>
      </c>
      <c r="G30" s="49">
        <f t="shared" ref="G30:G31" si="5">A30*B30*C30/(D30*E30*F30)/60</f>
        <v>182.7485380116959</v>
      </c>
      <c r="H30" s="58">
        <f t="shared" ref="H30:H31" si="6">G30/100</f>
        <v>1.827485380116959</v>
      </c>
      <c r="I30" s="58">
        <f t="shared" ref="I30:I31" si="7">G30/200</f>
        <v>0.91374269005847952</v>
      </c>
      <c r="J30" s="90">
        <f>G30/70</f>
        <v>2.6106934001670843</v>
      </c>
      <c r="K30" s="90">
        <f>G30/140</f>
        <v>1.3053467000835421</v>
      </c>
      <c r="L30" s="90">
        <f>G30/210</f>
        <v>0.87023113338902813</v>
      </c>
      <c r="M30" s="90">
        <f>G30/280</f>
        <v>0.65267335004177107</v>
      </c>
      <c r="N30" s="59" t="s">
        <v>208</v>
      </c>
    </row>
    <row r="31" spans="1:20" x14ac:dyDescent="0.2">
      <c r="A31" s="49">
        <v>300000</v>
      </c>
      <c r="B31" s="49">
        <v>1</v>
      </c>
      <c r="C31" s="49">
        <v>15</v>
      </c>
      <c r="D31" s="49">
        <v>512</v>
      </c>
      <c r="E31" s="49">
        <v>0.84</v>
      </c>
      <c r="F31" s="49">
        <v>0.95</v>
      </c>
      <c r="G31" s="49">
        <f t="shared" si="5"/>
        <v>183.56437969924812</v>
      </c>
      <c r="H31" s="58">
        <f t="shared" si="6"/>
        <v>1.8356437969924813</v>
      </c>
      <c r="I31" s="58">
        <f t="shared" si="7"/>
        <v>0.91782189849624063</v>
      </c>
      <c r="J31" s="90">
        <f>G31/70</f>
        <v>2.6223482814178305</v>
      </c>
      <c r="K31" s="90">
        <f>G31/140</f>
        <v>1.3111741407089152</v>
      </c>
      <c r="L31" s="90">
        <f>G31/210</f>
        <v>0.87411609380594346</v>
      </c>
      <c r="M31" s="90">
        <f>G31/280</f>
        <v>0.65558707035445762</v>
      </c>
      <c r="N31" s="59" t="s">
        <v>209</v>
      </c>
    </row>
    <row r="32" spans="1:20" x14ac:dyDescent="0.2">
      <c r="A32" s="128" t="s">
        <v>210</v>
      </c>
      <c r="B32" s="128"/>
      <c r="C32" s="128"/>
      <c r="D32" s="128"/>
    </row>
    <row r="33" spans="1:4" x14ac:dyDescent="0.2">
      <c r="A33" s="127" t="s">
        <v>212</v>
      </c>
      <c r="B33" s="127"/>
      <c r="C33" s="127"/>
      <c r="D33" s="127"/>
    </row>
    <row r="34" spans="1:4" x14ac:dyDescent="0.2">
      <c r="A34" s="127" t="s">
        <v>213</v>
      </c>
      <c r="B34" s="127"/>
      <c r="C34" s="127"/>
      <c r="D34" s="127"/>
    </row>
    <row r="35" spans="1:4" x14ac:dyDescent="0.2">
      <c r="A35" s="127" t="s">
        <v>691</v>
      </c>
      <c r="B35" s="127"/>
      <c r="C35" s="127"/>
      <c r="D35" s="127"/>
    </row>
  </sheetData>
  <mergeCells count="32">
    <mergeCell ref="A1:H1"/>
    <mergeCell ref="J1:P1"/>
    <mergeCell ref="A13:H13"/>
    <mergeCell ref="J13:P13"/>
    <mergeCell ref="A14:H14"/>
    <mergeCell ref="J14:P14"/>
    <mergeCell ref="A15:H15"/>
    <mergeCell ref="J15:P15"/>
    <mergeCell ref="A16:H16"/>
    <mergeCell ref="J16:P16"/>
    <mergeCell ref="A17:H17"/>
    <mergeCell ref="J17:M17"/>
    <mergeCell ref="A18:H18"/>
    <mergeCell ref="J18:N18"/>
    <mergeCell ref="A19:H19"/>
    <mergeCell ref="J19:L19"/>
    <mergeCell ref="A20:H20"/>
    <mergeCell ref="J20:O20"/>
    <mergeCell ref="A24:H24"/>
    <mergeCell ref="J24:M24"/>
    <mergeCell ref="A25:H25"/>
    <mergeCell ref="A21:H21"/>
    <mergeCell ref="J21:M21"/>
    <mergeCell ref="A22:H22"/>
    <mergeCell ref="J22:M22"/>
    <mergeCell ref="A23:H23"/>
    <mergeCell ref="J23:M23"/>
    <mergeCell ref="A35:D35"/>
    <mergeCell ref="A32:D32"/>
    <mergeCell ref="A33:D33"/>
    <mergeCell ref="A34:D34"/>
    <mergeCell ref="A27:I27"/>
  </mergeCells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太行UR</vt:lpstr>
      <vt:lpstr>UR泰尔</vt:lpstr>
      <vt:lpstr>昆仑UE</vt:lpstr>
      <vt:lpstr>UE泰尔</vt:lpstr>
      <vt:lpstr>祁连UM</vt:lpstr>
      <vt:lpstr>UM泰尔</vt:lpstr>
      <vt:lpstr>泰山UT</vt:lpstr>
      <vt:lpstr>UT泰尔</vt:lpstr>
      <vt:lpstr>电池泰尔</vt:lpstr>
      <vt:lpstr>配置计算公式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zsw</cp:lastModifiedBy>
  <dcterms:created xsi:type="dcterms:W3CDTF">2015-06-05T18:19:00Z</dcterms:created>
  <dcterms:modified xsi:type="dcterms:W3CDTF">2025-08-06T06:11:24Z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641652DE75D4413FA8BCD29126D22D39</vt:lpwstr>
  </property>
  <property fmtid="{D5CDD505-2E9C-101B-9397-08002B2CF9AE}" pid="3" name="KSOProductBuildVer">
    <vt:lpwstr>2052-11.1.0.12302</vt:lpwstr>
  </property>
</Properties>
</file>